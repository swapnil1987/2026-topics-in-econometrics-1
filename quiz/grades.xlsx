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5" autoFilterDateGrouping="1"/>
  </bookViews>
  <sheets>
    <sheet name="Quiz 1" sheetId="1" state="visible" r:id="rId1"/>
    <sheet name="Quiz 2" sheetId="2" state="visible" r:id="rId2"/>
    <sheet name="Quiz 3" sheetId="3" state="visible" r:id="rId3"/>
    <sheet name="Quiz 4" sheetId="4" state="visible" r:id="rId4"/>
    <sheet name="Midterm" sheetId="5" state="visible" r:id="rId5"/>
    <sheet name="Overall Grade" sheetId="6" state="visible" r:id="rId6"/>
  </sheets>
  <definedNames>
    <definedName name="_xlnm._FilterDatabase" localSheetId="0" hidden="1">'Quiz 1'!$A$1:$I$42</definedName>
    <definedName name="_xlnm.Print_Titles" localSheetId="0">'Quiz 1'!$1:$1</definedName>
    <definedName name="_xlnm.Print_Area" localSheetId="0">'Quiz 1'!$A$1:$I$46</definedName>
    <definedName name="_xlnm._FilterDatabase" localSheetId="1" hidden="1">'Quiz 2'!$A$1:$I$37</definedName>
    <definedName name="_xlnm.Print_Titles" localSheetId="1">'Quiz 2'!$1:$1</definedName>
    <definedName name="_xlnm.Print_Area" localSheetId="1">'Quiz 2'!$A$1:$I$41</definedName>
    <definedName name="_xlnm._FilterDatabase" localSheetId="2" hidden="1">'Quiz 3'!$A$1:$I$35</definedName>
    <definedName name="_xlnm.Print_Titles" localSheetId="2">'Quiz 3'!$1:$1</definedName>
    <definedName name="_xlnm.Print_Area" localSheetId="2">'Quiz 3'!$A$1:$I$39</definedName>
    <definedName name="_xlnm._FilterDatabase" localSheetId="3" hidden="1">'Quiz 4'!$A$1:$I$37</definedName>
    <definedName name="_xlnm.Print_Titles" localSheetId="3">'Quiz 4'!$1:$1</definedName>
    <definedName name="_xlnm.Print_Area" localSheetId="3">'Quiz 4'!$A$1:$I$41</definedName>
    <definedName name="_xlnm._FilterDatabase" localSheetId="4" hidden="1">'Midterm'!$A$1:$E$40</definedName>
    <definedName name="_xlnm.Print_Titles" localSheetId="4">'Midterm'!$1:$1</definedName>
    <definedName name="_xlnm.Print_Area" localSheetId="4">'Midterm'!$A$1:$E$44</definedName>
    <definedName name="_xlnm._FilterDatabase" localSheetId="5" hidden="1">'Overall Grade'!$A$1:$M$42</definedName>
    <definedName name="_xlnm.Print_Titles" localSheetId="5">'Overall Grade'!$1:$1</definedName>
    <definedName name="_xlnm.Print_Area" localSheetId="5">'Overall Grade'!$A$1:$M$53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00"/>
  </numFmts>
  <fonts count="11">
    <font>
      <name val="Carlito"/>
      <sz val="11"/>
    </font>
    <font>
      <name val="Aptos"/>
      <b val="1"/>
      <color rgb="FFFFFFFF"/>
      <sz val="11"/>
    </font>
    <font>
      <name val="Aptos"/>
      <b val="1"/>
      <color rgb="FFFFFFFF"/>
      <sz val="9"/>
    </font>
    <font>
      <name val="Aptos"/>
      <color rgb="FF243447"/>
      <sz val="10"/>
    </font>
    <font>
      <name val="Calibri"/>
      <b val="1"/>
      <color rgb="00FFFFFF"/>
      <sz val="18"/>
    </font>
    <font>
      <name val="Calibri"/>
      <color rgb="00242424"/>
      <sz val="11"/>
    </font>
    <font>
      <name val="Calibri"/>
      <b val="1"/>
      <color rgb="00FFFFFF"/>
      <sz val="11"/>
    </font>
    <font>
      <name val="Calibri"/>
      <b val="1"/>
      <color rgb="00242424"/>
      <sz val="11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</fonts>
  <fills count="13">
    <fill>
      <patternFill/>
    </fill>
    <fill>
      <patternFill patternType="gray125"/>
    </fill>
    <fill>
      <patternFill patternType="solid">
        <fgColor rgb="FF2F75B5"/>
      </patternFill>
    </fill>
    <fill>
      <patternFill patternType="solid">
        <fgColor rgb="FF17365D"/>
      </patternFill>
    </fill>
    <fill>
      <patternFill patternType="solid">
        <fgColor rgb="00242424"/>
      </patternFill>
    </fill>
    <fill>
      <patternFill patternType="solid">
        <fgColor rgb="00E85D4A"/>
      </patternFill>
    </fill>
    <fill>
      <patternFill patternType="solid">
        <fgColor rgb="00F5F4F2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DEBE8"/>
      </patternFill>
    </fill>
    <fill>
      <patternFill patternType="solid">
        <fgColor rgb="00F4F2EF"/>
      </patternFill>
    </fill>
    <fill>
      <patternFill patternType="solid">
        <fgColor rgb="00E9F2FB"/>
      </patternFill>
    </fill>
  </fills>
  <borders count="6">
    <border/>
    <border>
      <left style="thin">
        <color rgb="FF17365D"/>
      </left>
      <top style="thin">
        <color rgb="FF17365D"/>
      </top>
      <bottom style="thin">
        <color rgb="FF17365D"/>
      </bottom>
    </border>
    <border>
      <right style="thin">
        <color rgb="FF17365D"/>
      </right>
      <top style="thin">
        <color rgb="FF17365D"/>
      </top>
      <bottom style="thin">
        <color rgb="FF17365D"/>
      </bottom>
    </border>
    <border>
      <bottom style="thin">
        <color rgb="FFD9E1E8"/>
      </bottom>
    </border>
    <border>
      <top style="thin">
        <color rgb="FFD9E1E8"/>
      </top>
      <bottom style="thin">
        <color rgb="FFD9E1E8"/>
      </bottom>
    </border>
    <border>
      <bottom style="hair">
        <color rgb="00DEDBD6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2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2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" fontId="3" fillId="0" borderId="3" applyAlignment="1" pivotButton="0" quotePrefix="0" xfId="0">
      <alignment horizontal="center" vertical="center"/>
    </xf>
    <xf numFmtId="1" fontId="3" fillId="0" borderId="4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" fontId="3" fillId="0" borderId="3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" fontId="3" fillId="0" borderId="4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0" fillId="4" borderId="0" pivotButton="0" quotePrefix="0" xfId="0"/>
    <xf numFmtId="0" fontId="5" fillId="0" borderId="0" applyAlignment="1" pivotButton="0" quotePrefix="0" xfId="0">
      <alignment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49" fontId="5" fillId="6" borderId="5" applyAlignment="1" pivotButton="0" quotePrefix="0" xfId="0">
      <alignment horizontal="center" vertical="center"/>
    </xf>
    <xf numFmtId="0" fontId="5" fillId="6" borderId="5" applyAlignment="1" pivotButton="0" quotePrefix="0" xfId="0">
      <alignment horizontal="left" vertical="center" wrapText="1"/>
    </xf>
    <xf numFmtId="0" fontId="5" fillId="6" borderId="5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center" vertical="center"/>
    </xf>
    <xf numFmtId="49" fontId="5" fillId="7" borderId="5" applyAlignment="1" pivotButton="0" quotePrefix="0" xfId="0">
      <alignment horizontal="center" vertical="center"/>
    </xf>
    <xf numFmtId="0" fontId="5" fillId="7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center" vertical="center"/>
    </xf>
    <xf numFmtId="0" fontId="7" fillId="7" borderId="5" applyAlignment="1" pivotButton="0" quotePrefix="0" xfId="0">
      <alignment horizontal="center" vertical="center"/>
    </xf>
    <xf numFmtId="0" fontId="8" fillId="7" borderId="5" applyAlignment="1" pivotButton="0" quotePrefix="0" xfId="0">
      <alignment horizontal="center" vertical="center"/>
    </xf>
    <xf numFmtId="49" fontId="5" fillId="8" borderId="5" applyAlignment="1" pivotButton="0" quotePrefix="0" xfId="0">
      <alignment horizontal="center" vertical="center"/>
    </xf>
    <xf numFmtId="0" fontId="5" fillId="8" borderId="5" applyAlignment="1" pivotButton="0" quotePrefix="0" xfId="0">
      <alignment horizontal="left" vertical="center" wrapText="1"/>
    </xf>
    <xf numFmtId="49" fontId="5" fillId="9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left" vertical="center" wrapText="1"/>
    </xf>
    <xf numFmtId="2" fontId="7" fillId="6" borderId="5" applyAlignment="1" pivotButton="0" quotePrefix="0" xfId="0">
      <alignment horizontal="center" vertical="center"/>
    </xf>
    <xf numFmtId="2" fontId="7" fillId="7" borderId="5" applyAlignment="1" pivotButton="0" quotePrefix="0" xfId="0">
      <alignment horizontal="center" vertical="center"/>
    </xf>
    <xf numFmtId="0" fontId="9" fillId="10" borderId="0" applyAlignment="1" pivotButton="0" quotePrefix="0" xfId="0">
      <alignment vertical="center" wrapText="1"/>
    </xf>
    <xf numFmtId="0" fontId="10" fillId="11" borderId="0" applyAlignment="1" pivotButton="0" quotePrefix="0" xfId="0">
      <alignment vertical="center" wrapText="1"/>
    </xf>
    <xf numFmtId="0" fontId="6" fillId="4" borderId="0" applyAlignment="1" pivotButton="0" quotePrefix="0" xfId="0">
      <alignment horizontal="center" vertical="center" wrapText="1"/>
    </xf>
    <xf numFmtId="49" fontId="10" fillId="11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2" fontId="10" fillId="11" borderId="0" applyAlignment="1" pivotButton="0" quotePrefix="0" xfId="0">
      <alignment horizontal="center" vertical="center"/>
    </xf>
    <xf numFmtId="49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10" fillId="0" borderId="0" applyAlignment="1" pivotButton="0" quotePrefix="0" xfId="0">
      <alignment horizontal="center" vertical="center"/>
    </xf>
    <xf numFmtId="2" fontId="9" fillId="10" borderId="0" applyAlignment="1" pivotButton="0" quotePrefix="0" xfId="0">
      <alignment horizontal="center" vertical="center"/>
    </xf>
    <xf numFmtId="2" fontId="10" fillId="12" borderId="0" applyAlignment="1" pivotButton="0" quotePrefix="0" xfId="0">
      <alignment horizontal="center" vertical="center"/>
    </xf>
    <xf numFmtId="2" fontId="10" fillId="11" borderId="0" applyAlignment="1" pivotButton="0" quotePrefix="0" xfId="0">
      <alignment vertical="center" wrapText="1"/>
    </xf>
    <xf numFmtId="2" fontId="10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Grading review</author>
  </authors>
  <commentList>
    <comment ref="F7" authorId="0" shapeId="0">
      <text>
        <t xml:space="preserve">7 October makeup: scan page 7, form K7RX, score 3/3. Prior score: no recorded submission. Recorded score: 3/3; keep the highest attempt. </t>
      </text>
    </comment>
    <comment ref="F19" authorId="0" shapeId="0">
      <text>
        <t xml:space="preserve">7 October makeup: scan page 11, form K3VN, score 3/3. Prior score: no recorded submission. Recorded score: 3/3; keep the highest attempt. </t>
      </text>
    </comment>
    <comment ref="G26" authorId="0" shapeId="0">
      <text>
        <t>Quiz 1 make-up; source scan page 1; visually reviewed and pixel-cross-checked.</t>
      </text>
    </comment>
  </commentList>
</comments>
</file>

<file path=xl/comments/comment2.xml><?xml version="1.0" encoding="utf-8"?>
<comments xmlns="http://schemas.openxmlformats.org/spreadsheetml/2006/main">
  <authors>
    <author>Grading review</author>
  </authors>
  <commentList>
    <comment ref="F3" authorId="0" shapeId="0">
      <text>
        <t xml:space="preserve">7 October makeup: scan page 2, form N3VX, score 3/3. Prior score: 2. Recorded score: 3/3; keep the highest attempt. </t>
      </text>
    </comment>
    <comment ref="F19" authorId="0" shapeId="0">
      <text>
        <t xml:space="preserve">7 October makeup: scan page 12, form N7HF, score 2/3. Prior score: no recorded submission. Recorded score: 2/3; keep the highest attempt. </t>
      </text>
    </comment>
    <comment ref="F20" authorId="0" shapeId="0">
      <text>
        <t>7 October makeup: scan page 5, form N8KR, score 3/3. Prior score: 1. Recorded score: 3/3; keep the highest attempt. Question 3: E is clearly crossed out; A retained.</t>
      </text>
    </comment>
    <comment ref="F25" authorId="0" shapeId="0">
      <text>
        <t>Maximum of two Quiz 2 make-up submissions for ID 226: page 35 scored 1/3; page 37 scored 3/3. The recorded grade is 3/3 from page 37.</t>
      </text>
    </comment>
    <comment ref="G25" authorId="0" shapeId="0">
      <text>
        <t>Quiz 2 make-up; source scan page 37; visually reviewed and pixel-cross-checked.</t>
      </text>
    </comment>
    <comment ref="G27" authorId="0" shapeId="0">
      <text>
        <t>Quiz 2 make-up; source scan page 36; visually reviewed and pixel-cross-checked.</t>
      </text>
    </comment>
    <comment ref="F32" authorId="0" shapeId="0">
      <text>
        <t>7 October makeup: scan page 10, form N2WD, score 2/3. Prior score: no recorded submission. Recorded score: 2/3; keep the highest attempt. Question 3: A is clearly crossed out; B retained.</t>
      </text>
    </comment>
    <comment ref="F34" authorId="0" shapeId="0">
      <text>
        <t xml:space="preserve">7 October makeup: scan page 13, form N6JP, score 0/3. Prior score: no recorded submission. Recorded score: 0/3; keep the highest attempt. </t>
      </text>
    </comment>
    <comment ref="G36" authorId="0" shapeId="0">
      <text>
        <t>Quiz 2 make-up; source scan page 12; visually reviewed and pixel-cross-checked.</t>
      </text>
    </comment>
  </commentList>
</comments>
</file>

<file path=xl/comments/comment3.xml><?xml version="1.0" encoding="utf-8"?>
<comments xmlns="http://schemas.openxmlformats.org/spreadsheetml/2006/main">
  <authors>
    <author>Grading review</author>
  </authors>
  <commentList>
    <comment ref="A2" authorId="0" shapeId="0">
      <text>
        <t>Source scan page 24: written-ID boxes were blank; three clear bubbles read 200.</t>
      </text>
    </comment>
    <comment ref="E16" authorId="0" shapeId="0">
      <text>
        <t>Source scan page 22: F was crossed out with two long diagonal strokes; B was retained and graded.</t>
      </text>
    </comment>
    <comment ref="F17" authorId="0" shapeId="0">
      <text>
        <t xml:space="preserve">7 October makeup: scan page 6, form R2WD, score 2/3. Prior score: no recorded submission. Recorded score: 2/3; keep the highest attempt. </t>
      </text>
    </comment>
    <comment ref="F25" authorId="0" shapeId="0">
      <text>
        <t xml:space="preserve">7 October makeup: scan page 9, form R7KV, score 3/3. Prior score: 0. Recorded score: 3/3; keep the highest attempt. </t>
      </text>
    </comment>
    <comment ref="F27" authorId="0" shapeId="0">
      <text>
        <t xml:space="preserve">7 October makeup: scan page 1, form R8HF, score 3/3. Prior score: no recorded submission. Recorded score: 3/3; keep the highest attempt. </t>
      </text>
    </comment>
  </commentList>
</comments>
</file>

<file path=xl/comments/comment4.xml><?xml version="1.0" encoding="utf-8"?>
<comments xmlns="http://schemas.openxmlformats.org/spreadsheetml/2006/main">
  <authors>
    <author>Grading review</author>
  </authors>
  <commentList>
    <comment ref="F4" authorId="0" shapeId="0">
      <text>
        <t xml:space="preserve">7 October makeup: scan page 8, form V6JP, score 2/3. Prior score: no recorded submission. Recorded score: 2/3; keep the highest attempt. </t>
      </text>
    </comment>
    <comment ref="F8" authorId="0" shapeId="0">
      <text>
        <t xml:space="preserve">7 October makeup: scan page 3, form V7HF, score 3/3. Prior score: no recorded submission. Recorded score: 3/3; keep the highest attempt. </t>
      </text>
    </comment>
    <comment ref="F12" authorId="0" shapeId="0">
      <text>
        <t>Two physical Quiz 4 sheets were scanned: page 1 scored 1/3 with incomplete/conflicting ID bubbles and handwritten ID 210; page 26 scored 2/3 with consistent ID. Selection policy: max. All source sheets retained in the private audit.</t>
      </text>
    </comment>
    <comment ref="F16" authorId="0" shapeId="0">
      <text>
        <t xml:space="preserve">7 October makeup: scan page 4, form V2WD, score 3/3. Prior score: no recorded submission. Recorded score: 3/3; keep the highest attempt. </t>
      </text>
    </comment>
  </commentList>
</comments>
</file>

<file path=xl/comments/comment5.xml><?xml version="1.0" encoding="utf-8"?>
<comments xmlns="http://schemas.openxmlformats.org/spreadsheetml/2006/main">
  <authors>
    <author>Grading review</author>
  </authors>
  <commentList>
    <comment ref="B2" authorId="0" shapeId="0">
      <text>
        <t xml:space="preserve">Source: 7 October scan page 19; revision 2 key; 20 items, one point each. </t>
      </text>
    </comment>
    <comment ref="B3" authorId="0" shapeId="0">
      <text>
        <t xml:space="preserve">Source: 7 October scan page 50; revision 2 key; 20 items, one point each. </t>
      </text>
    </comment>
    <comment ref="B4" authorId="0" shapeId="0">
      <text>
        <t xml:space="preserve">Source: 7 October scan page 33; revision 2 key; 20 items, one point each. </t>
      </text>
    </comment>
    <comment ref="B5" authorId="0" shapeId="0">
      <text>
        <t xml:space="preserve">Source: 7 October scan page 47; revision 2 key; 20 items, one point each. </t>
      </text>
    </comment>
    <comment ref="B6" authorId="0" shapeId="0">
      <text>
        <t xml:space="preserve">Source: 7 October scan page 46; revision 2 key; 20 items, one point each. </t>
      </text>
    </comment>
    <comment ref="B7" authorId="0" shapeId="0">
      <text>
        <t xml:space="preserve">Source: 7 October scan page 34; revision 2 key; 20 items, one point each. </t>
      </text>
    </comment>
    <comment ref="B8" authorId="0" shapeId="0">
      <text>
        <t xml:space="preserve">Source: 7 October scan page 42; revision 2 key; 20 items, one point each. </t>
      </text>
    </comment>
    <comment ref="B9" authorId="0" shapeId="0">
      <text>
        <t xml:space="preserve">Source: 7 October scan page 28; revision 2 key; 20 items, one point each. </t>
      </text>
    </comment>
    <comment ref="B10" authorId="0" shapeId="0">
      <text>
        <t xml:space="preserve">Source: 7 October scan page 44; revision 2 key; 20 items, one point each. </t>
      </text>
    </comment>
    <comment ref="B11" authorId="0" shapeId="0">
      <text>
        <t xml:space="preserve">Source: 7 October scan page 37; revision 2 key; 20 items, one point each. </t>
      </text>
    </comment>
    <comment ref="B12" authorId="0" shapeId="0">
      <text>
        <t xml:space="preserve">Source: 7 October scan page 27; revision 2 key; 20 items, one point each. </t>
      </text>
    </comment>
    <comment ref="B13" authorId="0" shapeId="0">
      <text>
        <t>Source: 7 October scan page 21; revision 2 key; 20 items, one point each. Question 7: G has a light erased interior; F is the retained fully filled answer.</t>
      </text>
    </comment>
    <comment ref="B14" authorId="0" shapeId="0">
      <text>
        <t xml:space="preserve">Source: 7 October scan page 45; revision 2 key; 20 items, one point each. </t>
      </text>
    </comment>
    <comment ref="B15" authorId="0" shapeId="0">
      <text>
        <t xml:space="preserve">Source: 7 October scan page 48; revision 2 key; 20 items, one point each. </t>
      </text>
    </comment>
    <comment ref="B16" authorId="0" shapeId="0">
      <text>
        <t xml:space="preserve">Source: 7 October scan page 41; revision 2 key; 20 items, one point each. </t>
      </text>
    </comment>
    <comment ref="B17" authorId="0" shapeId="0">
      <text>
        <t xml:space="preserve">Source: 7 October scan page 52; revision 2 key; 20 items, one point each. </t>
      </text>
    </comment>
    <comment ref="B18" authorId="0" shapeId="0">
      <text>
        <t xml:space="preserve">Source: 7 October scan page 35; revision 2 key; 20 items, one point each. </t>
      </text>
    </comment>
    <comment ref="B19" authorId="0" shapeId="0">
      <text>
        <t xml:space="preserve">Source: 7 October scan page 24; revision 2 key; 20 items, one point each. </t>
      </text>
    </comment>
    <comment ref="B20" authorId="0" shapeId="0">
      <text>
        <t xml:space="preserve">Source: 7 October scan page 20; revision 2 key; 20 items, one point each. </t>
      </text>
    </comment>
    <comment ref="B21" authorId="0" shapeId="0">
      <text>
        <t>Source: 7 October scan page 32; revision 2 key; 20 items, one point each. Question 19 has two marked answers, C and G, without a clear cancellation; scored zero. Question 20 is blank.</t>
      </text>
    </comment>
    <comment ref="B22" authorId="0" shapeId="0">
      <text>
        <t xml:space="preserve">Source: 7 October scan page 38; revision 2 key; 20 items, one point each. </t>
      </text>
    </comment>
    <comment ref="B23" authorId="0" shapeId="0">
      <text>
        <t xml:space="preserve">Source: 7 October scan page 14; revision 2 key; 20 items, one point each. </t>
      </text>
    </comment>
    <comment ref="B24" authorId="0" shapeId="0">
      <text>
        <t xml:space="preserve">Source: 7 October scan page 43; revision 2 key; 20 items, one point each. </t>
      </text>
    </comment>
    <comment ref="B25" authorId="0" shapeId="0">
      <text>
        <t xml:space="preserve">Source: 7 October scan page 22; revision 2 key; 20 items, one point each. </t>
      </text>
    </comment>
    <comment ref="B26" authorId="0" shapeId="0">
      <text>
        <t xml:space="preserve">Source: 7 October scan page 25; revision 2 key; 20 items, one point each. </t>
      </text>
    </comment>
    <comment ref="B27" authorId="0" shapeId="0">
      <text>
        <t xml:space="preserve">Source: 7 October scan page 49; revision 2 key; 20 items, one point each. </t>
      </text>
    </comment>
    <comment ref="B28" authorId="0" shapeId="0">
      <text>
        <t xml:space="preserve">Source: 7 October scan page 23; revision 2 key; 20 items, one point each. </t>
      </text>
    </comment>
    <comment ref="B29" authorId="0" shapeId="0">
      <text>
        <t>Source: 7 October scan page 51; revision 2 key; 20 items, one point each. Question 2: E is crossed out and the light A mark is retained. Question 4: A is crossed out and E is retained.</t>
      </text>
    </comment>
    <comment ref="B30" authorId="0" shapeId="0">
      <text>
        <t xml:space="preserve">Source: 7 October scan page 40; revision 2 key; 20 items, one point each. </t>
      </text>
    </comment>
    <comment ref="B31" authorId="0" shapeId="0">
      <text>
        <t xml:space="preserve">Source: 7 October scan page 39; revision 2 key; 20 items, one point each. </t>
      </text>
    </comment>
    <comment ref="B32" authorId="0" shapeId="0">
      <text>
        <t xml:space="preserve">Source: 7 October scan page 30; revision 2 key; 20 items, one point each. </t>
      </text>
    </comment>
    <comment ref="B33" authorId="0" shapeId="0">
      <text>
        <t xml:space="preserve">Source: 7 October scan page 31; revision 2 key; 20 items, one point each. </t>
      </text>
    </comment>
    <comment ref="B34" authorId="0" shapeId="0">
      <text>
        <t xml:space="preserve">Source: 7 October scan page 26; revision 2 key; 20 items, one point each. </t>
      </text>
    </comment>
    <comment ref="B35" authorId="0" shapeId="0">
      <text>
        <t xml:space="preserve">Source: 7 October scan page 16; revision 2 key; 20 items, one point each. </t>
      </text>
    </comment>
    <comment ref="B36" authorId="0" shapeId="0">
      <text>
        <t xml:space="preserve">Source: 7 October scan page 29; revision 2 key; 20 items, one point each. </t>
      </text>
    </comment>
    <comment ref="B37" authorId="0" shapeId="0">
      <text>
        <t xml:space="preserve">Source: 7 October scan page 15; revision 2 key; 20 items, one point each. </t>
      </text>
    </comment>
    <comment ref="B38" authorId="0" shapeId="0">
      <text>
        <t xml:space="preserve">Source: 7 October scan page 36; revision 2 key; 20 items, one point each. </t>
      </text>
    </comment>
    <comment ref="B39" authorId="0" shapeId="0">
      <text>
        <t xml:space="preserve">Source: 7 October scan page 18; revision 2 key; 20 items, one point each. </t>
      </text>
    </comment>
    <comment ref="B40" authorId="0" shapeId="0">
      <text>
        <t xml:space="preserve">Source: 7 October scan page 17; revision 2 key; 20 items, one point each. 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tabColor rgb="00E85D4A"/>
    <s:outlinePr summaryBelow="1" summaryRight="1"/>
    <s:pageSetUpPr fitToPage="1"/>
  </s:sheetPr>
  <s:dimension ref="A1:I46"/>
  <s:sheetViews>
    <s:sheetView showGridLines="0" tabSelected="1" zoomScale="90" workbookViewId="0">
      <s:pane xSplit="2" ySplit="1" topLeftCell="C2" activePane="bottomRight" state="frozen"/>
      <s:selection pane="topRight" activeCell="A1" sqref="A1"/>
      <s:selection pane="bottomLeft" activeCell="A1" sqref="A1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13" customWidth="1" min="1" max="1"/>
    <s:col width="33" customWidth="1" min="2" max="2"/>
    <s:col width="13" customWidth="1" min="3" max="3"/>
    <s:col width="13" customWidth="1" min="4" max="4"/>
    <s:col width="13" customWidth="1" min="5" max="5"/>
    <s:col width="12" customWidth="1" min="6" max="6"/>
    <s:col width="10" customWidth="1" min="7" max="7"/>
    <s:col width="16" customWidth="1" min="8" max="8"/>
    <s:col width="24" customWidth="1" min="9" max="9"/>
  </s:cols>
  <s:sheetData>
    <s:row r="1" ht="30" customHeight="1">
      <s:c r="A1" s="32" t="inlineStr">
        <s:is>
          <s:t>Student ID</s:t>
        </s:is>
      </s:c>
      <s:c r="B1" s="33" t="inlineStr">
        <s:is>
          <s:t>Name (if no ID)</s:t>
        </s:is>
      </s:c>
      <s:c r="C1" s="32" t="inlineStr">
        <s:is>
          <s:t>Question 1</s:t>
        </s:is>
      </s:c>
      <s:c r="D1" s="32" t="inlineStr">
        <s:is>
          <s:t>Question 2</s:t>
        </s:is>
      </s:c>
      <s:c r="E1" s="32" t="inlineStr">
        <s:is>
          <s:t>Question 3</s:t>
        </s:is>
      </s:c>
      <s:c r="F1" s="32" t="inlineStr">
        <s:is>
          <s:t>Total / 3</s:t>
        </s:is>
      </s:c>
      <s:c r="G1" s="32" t="inlineStr">
        <s:is>
          <s:t>Form</s:t>
        </s:is>
      </s:c>
      <s:c r="H1" s="32" t="inlineStr">
        <s:is>
          <s:t>Grade / 10</s:t>
        </s:is>
      </s:c>
      <s:c r="I1" s="32" t="inlineStr">
        <s:is>
          <s:t>Course points / 0.75</s:t>
        </s:is>
      </s:c>
    </s:row>
    <s:row r="2" ht="24" customHeight="1">
      <s:c r="A2" s="34" t="inlineStr">
        <s:is>
          <s:t>200</s:t>
        </s:is>
      </s:c>
      <s:c r="B2" s="35" t="n"/>
      <s:c r="C2" s="36" t="n">
        <s:v>1</s:v>
      </s:c>
      <s:c r="D2" s="36" t="n">
        <s:v>1</s:v>
      </s:c>
      <s:c r="E2" s="36" t="n">
        <s:v>1</s:v>
      </s:c>
      <s:c r="F2" s="37" t="n">
        <s:v>3</s:v>
      </s:c>
      <s:c r="G2" s="36" t="inlineStr">
        <s:is>
          <s:t>UF5C</s:t>
        </s:is>
      </s:c>
      <s:c r="H2" s="48">
        <s:f>F2/3*10</s:f>
        <s:v>10</s:v>
      </s:c>
      <s:c r="I2" s="48">
        <s:f>H2*7.5%</s:f>
        <s:v>0.75</s:v>
      </s:c>
    </s:row>
    <s:row r="3" ht="24" customHeight="1">
      <s:c r="A3" s="39" t="inlineStr">
        <s:is>
          <s:t>201</s:t>
        </s:is>
      </s:c>
      <s:c r="B3" s="40" t="n"/>
      <s:c r="C3" s="41" t="n">
        <s:v>1</s:v>
      </s:c>
      <s:c r="D3" s="41" t="n">
        <s:v>1</s:v>
      </s:c>
      <s:c r="E3" s="41" t="n">
        <s:v>1</s:v>
      </s:c>
      <s:c r="F3" s="42" t="n">
        <s:v>3</s:v>
      </s:c>
      <s:c r="G3" s="41" t="inlineStr">
        <s:is>
          <s:t>P76Y</s:t>
        </s:is>
      </s:c>
      <s:c r="H3" s="49">
        <s:f>F3/3*10</s:f>
        <s:v>10</s:v>
      </s:c>
      <s:c r="I3" s="49">
        <s:f>H3*7.5%</s:f>
        <s:v>0.75</s:v>
      </s:c>
    </s:row>
    <s:row r="4" ht="24" customHeight="1">
      <s:c r="A4" s="34" t="inlineStr">
        <s:is>
          <s:t>202</s:t>
        </s:is>
      </s:c>
      <s:c r="B4" s="35" t="n"/>
      <s:c r="C4" s="36" t="n">
        <s:v>1</s:v>
      </s:c>
      <s:c r="D4" s="36" t="n">
        <s:v>1</s:v>
      </s:c>
      <s:c r="E4" s="36" t="n">
        <s:v>1</s:v>
      </s:c>
      <s:c r="F4" s="37" t="n">
        <s:v>3</s:v>
      </s:c>
      <s:c r="G4" s="36" t="inlineStr">
        <s:is>
          <s:t>UF5C</s:t>
        </s:is>
      </s:c>
      <s:c r="H4" s="48">
        <s:f>F4/3*10</s:f>
        <s:v>10</s:v>
      </s:c>
      <s:c r="I4" s="48">
        <s:f>H4*7.5%</s:f>
        <s:v>0.75</s:v>
      </s:c>
    </s:row>
    <s:row r="5" ht="24" customHeight="1">
      <s:c r="A5" s="39" t="inlineStr">
        <s:is>
          <s:t>203</s:t>
        </s:is>
      </s:c>
      <s:c r="B5" s="40" t="n"/>
      <s:c r="C5" s="41" t="n">
        <s:v>1</s:v>
      </s:c>
      <s:c r="D5" s="41" t="n">
        <s:v>1</s:v>
      </s:c>
      <s:c r="E5" s="41" t="n">
        <s:v>1</s:v>
      </s:c>
      <s:c r="F5" s="42" t="n">
        <s:v>3</s:v>
      </s:c>
      <s:c r="G5" s="41" t="inlineStr">
        <s:is>
          <s:t>PEY5</s:t>
        </s:is>
      </s:c>
      <s:c r="H5" s="49">
        <s:f>F5/3*10</s:f>
        <s:v>10</s:v>
      </s:c>
      <s:c r="I5" s="49">
        <s:f>H5*7.5%</s:f>
        <s:v>0.75</s:v>
      </s:c>
    </s:row>
    <s:row r="6" ht="24" customHeight="1">
      <s:c r="A6" s="34" t="inlineStr">
        <s:is>
          <s:t>204</s:t>
        </s:is>
      </s:c>
      <s:c r="B6" s="35" t="n"/>
      <s:c r="C6" s="36" t="n">
        <s:v>1</s:v>
      </s:c>
      <s:c r="D6" s="36" t="n">
        <s:v>1</s:v>
      </s:c>
      <s:c r="E6" s="36" t="n">
        <s:v>1</s:v>
      </s:c>
      <s:c r="F6" s="37" t="n">
        <s:v>3</s:v>
      </s:c>
      <s:c r="G6" s="36" t="inlineStr">
        <s:is>
          <s:t>B7CS</s:t>
        </s:is>
      </s:c>
      <s:c r="H6" s="48">
        <s:f>F6/3*10</s:f>
        <s:v>10</s:v>
      </s:c>
      <s:c r="I6" s="48">
        <s:f>H6*7.5%</s:f>
        <s:v>0.75</s:v>
      </s:c>
    </s:row>
    <s:row r="7" ht="24" customHeight="1">
      <s:c r="A7" s="34" t="inlineStr">
        <s:is>
          <s:t>205</s:t>
        </s:is>
      </s:c>
      <s:c r="B7" s="35" t="n"/>
      <s:c r="C7" s="36" t="n">
        <s:v>1</s:v>
      </s:c>
      <s:c r="D7" s="36" t="n">
        <s:v>1</s:v>
      </s:c>
      <s:c r="E7" s="36" t="n">
        <s:v>1</s:v>
      </s:c>
      <s:c r="F7" s="37" t="n">
        <s:v>3</s:v>
      </s:c>
      <s:c r="G7" s="36" t="inlineStr">
        <s:is>
          <s:t>K7RX</s:t>
        </s:is>
      </s:c>
      <s:c r="H7" s="48">
        <s:f>F7/3*10</s:f>
        <s:v>10</s:v>
      </s:c>
      <s:c r="I7" s="48">
        <s:f>H7*7.5%</s:f>
        <s:v>0.75</s:v>
      </s:c>
    </s:row>
    <s:row r="8" ht="24" customHeight="1">
      <s:c r="A8" s="39" t="inlineStr">
        <s:is>
          <s:t>206</s:t>
        </s:is>
      </s:c>
      <s:c r="B8" s="40" t="n"/>
      <s:c r="C8" s="41" t="n">
        <s:v>0</s:v>
      </s:c>
      <s:c r="D8" s="41" t="n">
        <s:v>1</s:v>
      </s:c>
      <s:c r="E8" s="41" t="n">
        <s:v>1</s:v>
      </s:c>
      <s:c r="F8" s="42" t="n">
        <s:v>2</s:v>
      </s:c>
      <s:c r="G8" s="41" t="inlineStr">
        <s:is>
          <s:t>P76Y</s:t>
        </s:is>
      </s:c>
      <s:c r="H8" s="49">
        <s:f>F8/3*10</s:f>
        <s:v>6.66666666666667</s:v>
      </s:c>
      <s:c r="I8" s="49">
        <s:f>H8*7.5%</s:f>
        <s:v>0.5</s:v>
      </s:c>
    </s:row>
    <s:row r="9" ht="24" customHeight="1">
      <s:c r="A9" s="34" t="inlineStr">
        <s:is>
          <s:t>207</s:t>
        </s:is>
      </s:c>
      <s:c r="B9" s="35" t="n"/>
      <s:c r="C9" s="36" t="n">
        <s:v>1</s:v>
      </s:c>
      <s:c r="D9" s="36" t="n">
        <s:v>1</s:v>
      </s:c>
      <s:c r="E9" s="36" t="n">
        <s:v>1</s:v>
      </s:c>
      <s:c r="F9" s="37" t="n">
        <s:v>3</s:v>
      </s:c>
      <s:c r="G9" s="36" t="inlineStr">
        <s:is>
          <s:t>B7CS</s:t>
        </s:is>
      </s:c>
      <s:c r="H9" s="48">
        <s:f>F9/3*10</s:f>
        <s:v>10</s:v>
      </s:c>
      <s:c r="I9" s="48">
        <s:f>H9*7.5%</s:f>
        <s:v>0.75</s:v>
      </s:c>
    </s:row>
    <s:row r="10" ht="24" customHeight="1">
      <s:c r="A10" s="39" t="inlineStr">
        <s:is>
          <s:t>208</s:t>
        </s:is>
      </s:c>
      <s:c r="B10" s="40" t="n"/>
      <s:c r="C10" s="41" t="n">
        <s:v>1</s:v>
      </s:c>
      <s:c r="D10" s="41" t="n">
        <s:v>1</s:v>
      </s:c>
      <s:c r="E10" s="41" t="n">
        <s:v>1</s:v>
      </s:c>
      <s:c r="F10" s="42" t="n">
        <s:v>3</s:v>
      </s:c>
      <s:c r="G10" s="41" t="inlineStr">
        <s:is>
          <s:t>P76Y</s:t>
        </s:is>
      </s:c>
      <s:c r="H10" s="49">
        <s:f>F10/3*10</s:f>
        <s:v>10</s:v>
      </s:c>
      <s:c r="I10" s="49">
        <s:f>H10*7.5%</s:f>
        <s:v>0.75</s:v>
      </s:c>
    </s:row>
    <s:row r="11" ht="24" customHeight="1">
      <s:c r="A11" s="34" t="inlineStr">
        <s:is>
          <s:t>209</s:t>
        </s:is>
      </s:c>
      <s:c r="B11" s="35" t="n"/>
      <s:c r="C11" s="36" t="n">
        <s:v>1</s:v>
      </s:c>
      <s:c r="D11" s="36" t="n">
        <s:v>1</s:v>
      </s:c>
      <s:c r="E11" s="36" t="n">
        <s:v>0</s:v>
      </s:c>
      <s:c r="F11" s="37" t="n">
        <s:v>2</s:v>
      </s:c>
      <s:c r="G11" s="36" t="inlineStr">
        <s:is>
          <s:t>B7CS</s:t>
        </s:is>
      </s:c>
      <s:c r="H11" s="48">
        <s:f>F11/3*10</s:f>
        <s:v>6.66666666666667</s:v>
      </s:c>
      <s:c r="I11" s="48">
        <s:f>H11*7.5%</s:f>
        <s:v>0.5</s:v>
      </s:c>
    </s:row>
    <s:row r="12" ht="24" customHeight="1">
      <s:c r="A12" s="39" t="inlineStr">
        <s:is>
          <s:t>210</s:t>
        </s:is>
      </s:c>
      <s:c r="B12" s="40" t="n"/>
      <s:c r="C12" s="41" t="n">
        <s:v>1</s:v>
      </s:c>
      <s:c r="D12" s="41" t="n">
        <s:v>0</s:v>
      </s:c>
      <s:c r="E12" s="41" t="n">
        <s:v>1</s:v>
      </s:c>
      <s:c r="F12" s="42" t="n">
        <s:v>2</s:v>
      </s:c>
      <s:c r="G12" s="41" t="inlineStr">
        <s:is>
          <s:t>THZ2</s:t>
        </s:is>
      </s:c>
      <s:c r="H12" s="49">
        <s:f>F12/3*10</s:f>
        <s:v>6.66666666666667</s:v>
      </s:c>
      <s:c r="I12" s="49">
        <s:f>H12*7.5%</s:f>
        <s:v>0.5</s:v>
      </s:c>
    </s:row>
    <s:row r="13" ht="24" customHeight="1">
      <s:c r="A13" s="34" t="inlineStr">
        <s:is>
          <s:t>211</s:t>
        </s:is>
      </s:c>
      <s:c r="B13" s="35" t="n"/>
      <s:c r="C13" s="36" t="n">
        <s:v>0</s:v>
      </s:c>
      <s:c r="D13" s="36" t="n">
        <s:v>1</s:v>
      </s:c>
      <s:c r="E13" s="36" t="n">
        <s:v>1</s:v>
      </s:c>
      <s:c r="F13" s="37" t="n">
        <s:v>2</s:v>
      </s:c>
      <s:c r="G13" s="36" t="inlineStr">
        <s:is>
          <s:t>P76Y</s:t>
        </s:is>
      </s:c>
      <s:c r="H13" s="48">
        <s:f>F13/3*10</s:f>
        <s:v>6.66666666666667</s:v>
      </s:c>
      <s:c r="I13" s="48">
        <s:f>H13*7.5%</s:f>
        <s:v>0.5</s:v>
      </s:c>
    </s:row>
    <s:row r="14" ht="24" customHeight="1">
      <s:c r="A14" s="39" t="inlineStr">
        <s:is>
          <s:t>212</s:t>
        </s:is>
      </s:c>
      <s:c r="B14" s="40" t="n"/>
      <s:c r="C14" s="41" t="n">
        <s:v>1</s:v>
      </s:c>
      <s:c r="D14" s="41" t="n">
        <s:v>0</s:v>
      </s:c>
      <s:c r="E14" s="41" t="n">
        <s:v>1</s:v>
      </s:c>
      <s:c r="F14" s="42" t="n">
        <s:v>2</s:v>
      </s:c>
      <s:c r="G14" s="41" t="inlineStr">
        <s:is>
          <s:t>THZ2</s:t>
        </s:is>
      </s:c>
      <s:c r="H14" s="49">
        <s:f>F14/3*10</s:f>
        <s:v>6.66666666666667</s:v>
      </s:c>
      <s:c r="I14" s="49">
        <s:f>H14*7.5%</s:f>
        <s:v>0.5</s:v>
      </s:c>
    </s:row>
    <s:row r="15" ht="24" customHeight="1">
      <s:c r="A15" s="34" t="inlineStr">
        <s:is>
          <s:t>213</s:t>
        </s:is>
      </s:c>
      <s:c r="B15" s="35" t="n"/>
      <s:c r="C15" s="36" t="n">
        <s:v>1</s:v>
      </s:c>
      <s:c r="D15" s="36" t="n">
        <s:v>0</s:v>
      </s:c>
      <s:c r="E15" s="36" t="n">
        <s:v>0</s:v>
      </s:c>
      <s:c r="F15" s="37" t="n">
        <s:v>1</s:v>
      </s:c>
      <s:c r="G15" s="36" t="inlineStr">
        <s:is>
          <s:t>THZ2</s:t>
        </s:is>
      </s:c>
      <s:c r="H15" s="48">
        <s:f>F15/3*10</s:f>
        <s:v>3.33333333333333</s:v>
      </s:c>
      <s:c r="I15" s="48">
        <s:f>H15*7.5%</s:f>
        <s:v>0.25</s:v>
      </s:c>
    </s:row>
    <s:row r="16" ht="24" customHeight="1">
      <s:c r="A16" s="39" t="inlineStr">
        <s:is>
          <s:t>214</s:t>
        </s:is>
      </s:c>
      <s:c r="B16" s="40" t="n"/>
      <s:c r="C16" s="41" t="n">
        <s:v>1</s:v>
      </s:c>
      <s:c r="D16" s="41" t="n">
        <s:v>1</s:v>
      </s:c>
      <s:c r="E16" s="41" t="n">
        <s:v>1</s:v>
      </s:c>
      <s:c r="F16" s="42" t="n">
        <s:v>3</s:v>
      </s:c>
      <s:c r="G16" s="41" t="inlineStr">
        <s:is>
          <s:t>PEY5</s:t>
        </s:is>
      </s:c>
      <s:c r="H16" s="49">
        <s:f>F16/3*10</s:f>
        <s:v>10</s:v>
      </s:c>
      <s:c r="I16" s="49">
        <s:f>H16*7.5%</s:f>
        <s:v>0.75</s:v>
      </s:c>
    </s:row>
    <s:row r="17" ht="24" customHeight="1">
      <s:c r="A17" s="34" t="inlineStr">
        <s:is>
          <s:t>215</s:t>
        </s:is>
      </s:c>
      <s:c r="B17" s="35" t="n"/>
      <s:c r="C17" s="36" t="n">
        <s:v>1</s:v>
      </s:c>
      <s:c r="D17" s="36" t="n">
        <s:v>1</s:v>
      </s:c>
      <s:c r="E17" s="36" t="n">
        <s:v>0</s:v>
      </s:c>
      <s:c r="F17" s="37" t="n">
        <s:v>2</s:v>
      </s:c>
      <s:c r="G17" s="36" t="inlineStr">
        <s:is>
          <s:t>PEY5</s:t>
        </s:is>
      </s:c>
      <s:c r="H17" s="48">
        <s:f>F17/3*10</s:f>
        <s:v>6.66666666666667</s:v>
      </s:c>
      <s:c r="I17" s="48">
        <s:f>H17*7.5%</s:f>
        <s:v>0.5</s:v>
      </s:c>
    </s:row>
    <s:row r="18" ht="24" customHeight="1">
      <s:c r="A18" s="39" t="inlineStr">
        <s:is>
          <s:t>216</s:t>
        </s:is>
      </s:c>
      <s:c r="B18" s="40" t="n"/>
      <s:c r="C18" s="41" t="n">
        <s:v>1</s:v>
      </s:c>
      <s:c r="D18" s="41" t="n">
        <s:v>1</s:v>
      </s:c>
      <s:c r="E18" s="41" t="n">
        <s:v>1</s:v>
      </s:c>
      <s:c r="F18" s="42" t="n">
        <s:v>3</s:v>
      </s:c>
      <s:c r="G18" s="41" t="inlineStr">
        <s:is>
          <s:t>UF5C</s:t>
        </s:is>
      </s:c>
      <s:c r="H18" s="49">
        <s:f>F18/3*10</s:f>
        <s:v>10</s:v>
      </s:c>
      <s:c r="I18" s="49">
        <s:f>H18*7.5%</s:f>
        <s:v>0.75</s:v>
      </s:c>
    </s:row>
    <s:row r="19" ht="24" customHeight="1">
      <s:c r="A19" s="34" t="inlineStr">
        <s:is>
          <s:t>217</s:t>
        </s:is>
      </s:c>
      <s:c r="B19" s="35" t="n"/>
      <s:c r="C19" s="36" t="n">
        <s:v>1</s:v>
      </s:c>
      <s:c r="D19" s="36" t="n">
        <s:v>1</s:v>
      </s:c>
      <s:c r="E19" s="36" t="n">
        <s:v>1</s:v>
      </s:c>
      <s:c r="F19" s="37" t="n">
        <s:v>3</s:v>
      </s:c>
      <s:c r="G19" s="36" t="inlineStr">
        <s:is>
          <s:t>K3VN</s:t>
        </s:is>
      </s:c>
      <s:c r="H19" s="48">
        <s:f>F19/3*10</s:f>
        <s:v>10</s:v>
      </s:c>
      <s:c r="I19" s="48">
        <s:f>H19*7.5%</s:f>
        <s:v>0.75</s:v>
      </s:c>
    </s:row>
    <s:row r="20" ht="24" customHeight="1">
      <s:c r="A20" s="34" t="inlineStr">
        <s:is>
          <s:t>219</s:t>
        </s:is>
      </s:c>
      <s:c r="B20" s="35" t="n"/>
      <s:c r="C20" s="36" t="n">
        <s:v>1</s:v>
      </s:c>
      <s:c r="D20" s="36" t="n">
        <s:v>1</s:v>
      </s:c>
      <s:c r="E20" s="36" t="n">
        <s:v>1</s:v>
      </s:c>
      <s:c r="F20" s="37" t="n">
        <s:v>3</s:v>
      </s:c>
      <s:c r="G20" s="36" t="inlineStr">
        <s:is>
          <s:t>PEY5</s:t>
        </s:is>
      </s:c>
      <s:c r="H20" s="48">
        <s:f>F20/3*10</s:f>
        <s:v>10</s:v>
      </s:c>
      <s:c r="I20" s="48">
        <s:f>H20*7.5%</s:f>
        <s:v>0.75</s:v>
      </s:c>
    </s:row>
    <s:row r="21" ht="24" customHeight="1">
      <s:c r="A21" s="39" t="inlineStr">
        <s:is>
          <s:t>221</s:t>
        </s:is>
      </s:c>
      <s:c r="B21" s="40" t="n"/>
      <s:c r="C21" s="41" t="n">
        <s:v>1</s:v>
      </s:c>
      <s:c r="D21" s="41" t="n">
        <s:v>1</s:v>
      </s:c>
      <s:c r="E21" s="41" t="n">
        <s:v>1</s:v>
      </s:c>
      <s:c r="F21" s="42" t="n">
        <s:v>3</s:v>
      </s:c>
      <s:c r="G21" s="41" t="inlineStr">
        <s:is>
          <s:t>P76Y</s:t>
        </s:is>
      </s:c>
      <s:c r="H21" s="49">
        <s:f>F21/3*10</s:f>
        <s:v>10</s:v>
      </s:c>
      <s:c r="I21" s="49">
        <s:f>H21*7.5%</s:f>
        <s:v>0.75</s:v>
      </s:c>
    </s:row>
    <s:row r="22" ht="24" customHeight="1">
      <s:c r="A22" s="34" t="inlineStr">
        <s:is>
          <s:t>222</s:t>
        </s:is>
      </s:c>
      <s:c r="B22" s="35" t="n"/>
      <s:c r="C22" s="36" t="n">
        <s:v>1</s:v>
      </s:c>
      <s:c r="D22" s="36" t="n">
        <s:v>1</s:v>
      </s:c>
      <s:c r="E22" s="36" t="n">
        <s:v>1</s:v>
      </s:c>
      <s:c r="F22" s="37" t="n">
        <s:v>3</s:v>
      </s:c>
      <s:c r="G22" s="36" t="inlineStr">
        <s:is>
          <s:t>THZ2</s:t>
        </s:is>
      </s:c>
      <s:c r="H22" s="48">
        <s:f>F22/3*10</s:f>
        <s:v>10</s:v>
      </s:c>
      <s:c r="I22" s="48">
        <s:f>H22*7.5%</s:f>
        <s:v>0.75</s:v>
      </s:c>
    </s:row>
    <s:row r="23" ht="24" customHeight="1">
      <s:c r="A23" s="39" t="inlineStr">
        <s:is>
          <s:t>223</s:t>
        </s:is>
      </s:c>
      <s:c r="B23" s="40" t="n"/>
      <s:c r="C23" s="41" t="n">
        <s:v>1</s:v>
      </s:c>
      <s:c r="D23" s="41" t="n">
        <s:v>1</s:v>
      </s:c>
      <s:c r="E23" s="41" t="n">
        <s:v>1</s:v>
      </s:c>
      <s:c r="F23" s="42" t="n">
        <s:v>3</s:v>
      </s:c>
      <s:c r="G23" s="41" t="inlineStr">
        <s:is>
          <s:t>PEY5</s:t>
        </s:is>
      </s:c>
      <s:c r="H23" s="49">
        <s:f>F23/3*10</s:f>
        <s:v>10</s:v>
      </s:c>
      <s:c r="I23" s="49">
        <s:f>H23*7.5%</s:f>
        <s:v>0.75</s:v>
      </s:c>
    </s:row>
    <s:row r="24" ht="24" customHeight="1">
      <s:c r="A24" s="34" t="inlineStr">
        <s:is>
          <s:t>224</s:t>
        </s:is>
      </s:c>
      <s:c r="B24" s="35" t="n"/>
      <s:c r="C24" s="36" t="n">
        <s:v>1</s:v>
      </s:c>
      <s:c r="D24" s="36" t="n">
        <s:v>1</s:v>
      </s:c>
      <s:c r="E24" s="36" t="n">
        <s:v>1</s:v>
      </s:c>
      <s:c r="F24" s="37" t="n">
        <s:v>3</s:v>
      </s:c>
      <s:c r="G24" s="36" t="inlineStr">
        <s:is>
          <s:t>UF5C</s:t>
        </s:is>
      </s:c>
      <s:c r="H24" s="48">
        <s:f>F24/3*10</s:f>
        <s:v>10</s:v>
      </s:c>
      <s:c r="I24" s="48">
        <s:f>H24*7.5%</s:f>
        <s:v>0.75</s:v>
      </s:c>
    </s:row>
    <s:row r="25" ht="24" customHeight="1">
      <s:c r="A25" s="39" t="inlineStr">
        <s:is>
          <s:t>225</s:t>
        </s:is>
      </s:c>
      <s:c r="B25" s="40" t="n"/>
      <s:c r="C25" s="41" t="n">
        <s:v>1</s:v>
      </s:c>
      <s:c r="D25" s="41" t="n">
        <s:v>1</s:v>
      </s:c>
      <s:c r="E25" s="41" t="n">
        <s:v>1</s:v>
      </s:c>
      <s:c r="F25" s="42" t="n">
        <s:v>3</s:v>
      </s:c>
      <s:c r="G25" s="41" t="inlineStr">
        <s:is>
          <s:t>B7CS</s:t>
        </s:is>
      </s:c>
      <s:c r="H25" s="49">
        <s:f>F25/3*10</s:f>
        <s:v>10</s:v>
      </s:c>
      <s:c r="I25" s="49">
        <s:f>H25*7.5%</s:f>
        <s:v>0.75</s:v>
      </s:c>
    </s:row>
    <s:row r="26" ht="24" customHeight="1">
      <s:c r="A26" s="34" t="inlineStr">
        <s:is>
          <s:t>226</s:t>
        </s:is>
      </s:c>
      <s:c r="B26" s="35" t="n"/>
      <s:c r="C26" s="36" t="n">
        <s:v>1</s:v>
      </s:c>
      <s:c r="D26" s="36" t="n">
        <s:v>1</s:v>
      </s:c>
      <s:c r="E26" s="36" t="n">
        <s:v>1</s:v>
      </s:c>
      <s:c r="F26" s="37" t="n">
        <s:v>3</s:v>
      </s:c>
      <s:c r="G26" s="36" t="inlineStr">
        <s:is>
          <s:t>MA4Z</s:t>
        </s:is>
      </s:c>
      <s:c r="H26" s="48">
        <s:f>F26/3*10</s:f>
        <s:v>10</s:v>
      </s:c>
      <s:c r="I26" s="48">
        <s:f>H26*7.5%</s:f>
        <s:v>0.75</s:v>
      </s:c>
    </s:row>
    <s:row r="27" ht="24" customHeight="1">
      <s:c r="A27" s="39" t="inlineStr">
        <s:is>
          <s:t>227</s:t>
        </s:is>
      </s:c>
      <s:c r="B27" s="40" t="n"/>
      <s:c r="C27" s="41" t="n">
        <s:v>1</s:v>
      </s:c>
      <s:c r="D27" s="41" t="n">
        <s:v>1</s:v>
      </s:c>
      <s:c r="E27" s="41" t="n">
        <s:v>0</s:v>
      </s:c>
      <s:c r="F27" s="42" t="n">
        <s:v>2</s:v>
      </s:c>
      <s:c r="G27" s="41" t="inlineStr">
        <s:is>
          <s:t>PEY5</s:t>
        </s:is>
      </s:c>
      <s:c r="H27" s="49">
        <s:f>F27/3*10</s:f>
        <s:v>6.66666666666667</s:v>
      </s:c>
      <s:c r="I27" s="49">
        <s:f>H27*7.5%</s:f>
        <s:v>0.5</s:v>
      </s:c>
    </s:row>
    <s:row r="28" ht="24" customHeight="1">
      <s:c r="A28" s="34" t="inlineStr">
        <s:is>
          <s:t>227</s:t>
        </s:is>
      </s:c>
      <s:c r="B28" s="35" t="n"/>
      <s:c r="C28" s="36" t="n">
        <s:v>1</s:v>
      </s:c>
      <s:c r="D28" s="36" t="n">
        <s:v>1</s:v>
      </s:c>
      <s:c r="E28" s="36" t="n">
        <s:v>0</s:v>
      </s:c>
      <s:c r="F28" s="37" t="n">
        <s:v>2</s:v>
      </s:c>
      <s:c r="G28" s="36" t="inlineStr">
        <s:is>
          <s:t>PEY5</s:t>
        </s:is>
      </s:c>
      <s:c r="H28" s="48">
        <s:f>F28/3*10</s:f>
        <s:v>6.66666666666667</s:v>
      </s:c>
      <s:c r="I28" s="48">
        <s:f>H28*7.5%</s:f>
        <s:v>0.5</s:v>
      </s:c>
    </s:row>
    <s:row r="29" ht="24" customHeight="1">
      <s:c r="A29" s="39" t="inlineStr">
        <s:is>
          <s:t>228</s:t>
        </s:is>
      </s:c>
      <s:c r="B29" s="40" t="n"/>
      <s:c r="C29" s="41" t="n">
        <s:v>1</s:v>
      </s:c>
      <s:c r="D29" s="41" t="n">
        <s:v>1</s:v>
      </s:c>
      <s:c r="E29" s="41" t="n">
        <s:v>1</s:v>
      </s:c>
      <s:c r="F29" s="42" t="n">
        <s:v>3</s:v>
      </s:c>
      <s:c r="G29" s="41" t="inlineStr">
        <s:is>
          <s:t>UF5C</s:t>
        </s:is>
      </s:c>
      <s:c r="H29" s="49">
        <s:f>F29/3*10</s:f>
        <s:v>10</s:v>
      </s:c>
      <s:c r="I29" s="49">
        <s:f>H29*7.5%</s:f>
        <s:v>0.75</s:v>
      </s:c>
    </s:row>
    <s:row r="30" ht="24" customHeight="1">
      <s:c r="A30" s="34" t="inlineStr">
        <s:is>
          <s:t>229</s:t>
        </s:is>
      </s:c>
      <s:c r="B30" s="35" t="n"/>
      <s:c r="C30" s="36" t="n">
        <s:v>1</s:v>
      </s:c>
      <s:c r="D30" s="36" t="n">
        <s:v>1</s:v>
      </s:c>
      <s:c r="E30" s="36" t="n">
        <s:v>0</s:v>
      </s:c>
      <s:c r="F30" s="37" t="n">
        <s:v>2</s:v>
      </s:c>
      <s:c r="G30" s="36" t="inlineStr">
        <s:is>
          <s:t>B7CS</s:t>
        </s:is>
      </s:c>
      <s:c r="H30" s="48">
        <s:f>F30/3*10</s:f>
        <s:v>6.66666666666667</s:v>
      </s:c>
      <s:c r="I30" s="48">
        <s:f>H30*7.5%</s:f>
        <s:v>0.5</s:v>
      </s:c>
    </s:row>
    <s:row r="31" ht="24" customHeight="1">
      <s:c r="A31" s="39" t="inlineStr">
        <s:is>
          <s:t>230</s:t>
        </s:is>
      </s:c>
      <s:c r="B31" s="40" t="n"/>
      <s:c r="C31" s="41" t="n">
        <s:v>1</s:v>
      </s:c>
      <s:c r="D31" s="41" t="n">
        <s:v>1</s:v>
      </s:c>
      <s:c r="E31" s="41" t="n">
        <s:v>0</s:v>
      </s:c>
      <s:c r="F31" s="42" t="n">
        <s:v>2</s:v>
      </s:c>
      <s:c r="G31" s="41" t="inlineStr">
        <s:is>
          <s:t>B7CS</s:t>
        </s:is>
      </s:c>
      <s:c r="H31" s="49">
        <s:f>F31/3*10</s:f>
        <s:v>6.66666666666667</s:v>
      </s:c>
      <s:c r="I31" s="49">
        <s:f>H31*7.5%</s:f>
        <s:v>0.5</s:v>
      </s:c>
    </s:row>
    <s:row r="32" ht="24" customHeight="1">
      <s:c r="A32" s="34" t="inlineStr">
        <s:is>
          <s:t>232</s:t>
        </s:is>
      </s:c>
      <s:c r="B32" s="35" t="n"/>
      <s:c r="C32" s="36" t="n">
        <s:v>1</s:v>
      </s:c>
      <s:c r="D32" s="36" t="n">
        <s:v>1</s:v>
      </s:c>
      <s:c r="E32" s="36" t="n">
        <s:v>1</s:v>
      </s:c>
      <s:c r="F32" s="37" t="n">
        <s:v>3</s:v>
      </s:c>
      <s:c r="G32" s="36" t="inlineStr">
        <s:is>
          <s:t>THZ2</s:t>
        </s:is>
      </s:c>
      <s:c r="H32" s="48">
        <s:f>F32/3*10</s:f>
        <s:v>10</s:v>
      </s:c>
      <s:c r="I32" s="48">
        <s:f>H32*7.5%</s:f>
        <s:v>0.75</s:v>
      </s:c>
    </s:row>
    <s:row r="33" ht="24" customHeight="1">
      <s:c r="A33" s="39" t="inlineStr">
        <s:is>
          <s:t>233</s:t>
        </s:is>
      </s:c>
      <s:c r="B33" s="40" t="n"/>
      <s:c r="C33" s="41" t="n">
        <s:v>1</s:v>
      </s:c>
      <s:c r="D33" s="41" t="n">
        <s:v>1</s:v>
      </s:c>
      <s:c r="E33" s="41" t="n">
        <s:v>1</s:v>
      </s:c>
      <s:c r="F33" s="42" t="n">
        <s:v>3</s:v>
      </s:c>
      <s:c r="G33" s="41" t="inlineStr">
        <s:is>
          <s:t>PEY5</s:t>
        </s:is>
      </s:c>
      <s:c r="H33" s="49">
        <s:f>F33/3*10</s:f>
        <s:v>10</s:v>
      </s:c>
      <s:c r="I33" s="49">
        <s:f>H33*7.5%</s:f>
        <s:v>0.75</s:v>
      </s:c>
    </s:row>
    <s:row r="34" ht="24" customHeight="1">
      <s:c r="A34" s="34" t="inlineStr">
        <s:is>
          <s:t>236</s:t>
        </s:is>
      </s:c>
      <s:c r="B34" s="35" t="n"/>
      <s:c r="C34" s="36" t="n">
        <s:v>1</s:v>
      </s:c>
      <s:c r="D34" s="36" t="n">
        <s:v>0</s:v>
      </s:c>
      <s:c r="E34" s="36" t="n">
        <s:v>1</s:v>
      </s:c>
      <s:c r="F34" s="37" t="n">
        <s:v>2</s:v>
      </s:c>
      <s:c r="G34" s="36" t="inlineStr">
        <s:is>
          <s:t>THZ2</s:t>
        </s:is>
      </s:c>
      <s:c r="H34" s="48">
        <s:f>F34/3*10</s:f>
        <s:v>6.66666666666667</s:v>
      </s:c>
      <s:c r="I34" s="48">
        <s:f>H34*7.5%</s:f>
        <s:v>0.5</s:v>
      </s:c>
    </s:row>
    <s:row r="35" ht="24" customHeight="1">
      <s:c r="A35" s="39" t="inlineStr">
        <s:is>
          <s:t>238</s:t>
        </s:is>
      </s:c>
      <s:c r="B35" s="40" t="n"/>
      <s:c r="C35" s="41" t="n">
        <s:v>1</s:v>
      </s:c>
      <s:c r="D35" s="41" t="n">
        <s:v>1</s:v>
      </s:c>
      <s:c r="E35" s="41" t="n">
        <s:v>1</s:v>
      </s:c>
      <s:c r="F35" s="42" t="n">
        <s:v>3</s:v>
      </s:c>
      <s:c r="G35" s="41" t="inlineStr">
        <s:is>
          <s:t>P76Y</s:t>
        </s:is>
      </s:c>
      <s:c r="H35" s="49">
        <s:f>F35/3*10</s:f>
        <s:v>10</s:v>
      </s:c>
      <s:c r="I35" s="49">
        <s:f>H35*7.5%</s:f>
        <s:v>0.75</s:v>
      </s:c>
    </s:row>
    <s:row r="36" ht="24" customHeight="1">
      <s:c r="A36" s="34" t="inlineStr">
        <s:is>
          <s:t>239</s:t>
        </s:is>
      </s:c>
      <s:c r="B36" s="35" t="n"/>
      <s:c r="C36" s="36" t="n">
        <s:v>1</s:v>
      </s:c>
      <s:c r="D36" s="36" t="n">
        <s:v>0</s:v>
      </s:c>
      <s:c r="E36" s="36" t="n">
        <s:v>1</s:v>
      </s:c>
      <s:c r="F36" s="37" t="n">
        <s:v>2</s:v>
      </s:c>
      <s:c r="G36" s="36" t="inlineStr">
        <s:is>
          <s:t>B7CS</s:t>
        </s:is>
      </s:c>
      <s:c r="H36" s="48">
        <s:f>F36/3*10</s:f>
        <s:v>6.66666666666667</s:v>
      </s:c>
      <s:c r="I36" s="48">
        <s:f>H36*7.5%</s:f>
        <s:v>0.5</s:v>
      </s:c>
    </s:row>
    <s:row r="37" ht="24" customHeight="1">
      <s:c r="A37" s="39" t="inlineStr">
        <s:is>
          <s:t>242</s:t>
        </s:is>
      </s:c>
      <s:c r="B37" s="40" t="n"/>
      <s:c r="C37" s="41" t="n">
        <s:v>0</s:v>
      </s:c>
      <s:c r="D37" s="41" t="n">
        <s:v>1</s:v>
      </s:c>
      <s:c r="E37" s="41" t="n">
        <s:v>1</s:v>
      </s:c>
      <s:c r="F37" s="42" t="n">
        <s:v>2</s:v>
      </s:c>
      <s:c r="G37" s="41" t="inlineStr">
        <s:is>
          <s:t>UF5C</s:t>
        </s:is>
      </s:c>
      <s:c r="H37" s="49">
        <s:f>F37/3*10</s:f>
        <s:v>6.66666666666667</s:v>
      </s:c>
      <s:c r="I37" s="49">
        <s:f>H37*7.5%</s:f>
        <s:v>0.5</s:v>
      </s:c>
    </s:row>
    <s:row r="38" ht="24" customHeight="1">
      <s:c r="A38" s="34" t="inlineStr">
        <s:is>
          <s:t>243</s:t>
        </s:is>
      </s:c>
      <s:c r="B38" s="35" t="n"/>
      <s:c r="C38" s="36" t="n">
        <s:v>0</s:v>
      </s:c>
      <s:c r="D38" s="36" t="n">
        <s:v>1</s:v>
      </s:c>
      <s:c r="E38" s="36" t="n">
        <s:v>0</s:v>
      </s:c>
      <s:c r="F38" s="37" t="n">
        <s:v>1</s:v>
      </s:c>
      <s:c r="G38" s="36" t="inlineStr">
        <s:is>
          <s:t>P76Y</s:t>
        </s:is>
      </s:c>
      <s:c r="H38" s="48">
        <s:f>F38/3*10</s:f>
        <s:v>3.33333333333333</s:v>
      </s:c>
      <s:c r="I38" s="48">
        <s:f>H38*7.5%</s:f>
        <s:v>0.25</s:v>
      </s:c>
    </s:row>
    <s:row r="39" ht="24" customHeight="1">
      <s:c r="A39" s="46" t="n"/>
      <s:c r="B39" s="47" t="inlineStr">
        <s:is>
          <s:t>LVL</s:t>
        </s:is>
      </s:c>
      <s:c r="C39" s="41" t="n">
        <s:v>0</s:v>
      </s:c>
      <s:c r="D39" s="41" t="n">
        <s:v>0</s:v>
      </s:c>
      <s:c r="E39" s="41" t="n">
        <s:v>0</s:v>
      </s:c>
      <s:c r="F39" s="42" t="n">
        <s:v>0</s:v>
      </s:c>
      <s:c r="G39" s="41" t="inlineStr">
        <s:is>
          <s:t>THZ2</s:t>
        </s:is>
      </s:c>
      <s:c r="H39" s="49">
        <s:f>F39/3*10</s:f>
        <s:v>0</s:v>
      </s:c>
      <s:c r="I39" s="49">
        <s:f>H39*7.5%</s:f>
        <s:v>0</s:v>
      </s:c>
    </s:row>
    <s:row r="40" ht="24" customHeight="1">
      <s:c r="A40" s="46" t="n"/>
      <s:c r="B40" s="47" t="inlineStr">
        <s:is>
          <s:t>AMR</s:t>
        </s:is>
      </s:c>
      <s:c r="C40" s="36" t="n">
        <s:v>1</s:v>
      </s:c>
      <s:c r="D40" s="36" t="n">
        <s:v>0</s:v>
      </s:c>
      <s:c r="E40" s="36" t="n">
        <s:v>1</s:v>
      </s:c>
      <s:c r="F40" s="37" t="n">
        <s:v>2</s:v>
      </s:c>
      <s:c r="G40" s="36" t="inlineStr">
        <s:is>
          <s:t>UF5C</s:t>
        </s:is>
      </s:c>
      <s:c r="H40" s="48">
        <s:f>F40/3*10</s:f>
        <s:v>6.66666666666667</s:v>
      </s:c>
      <s:c r="I40" s="48">
        <s:f>H40*7.5%</s:f>
        <s:v>0.5</s:v>
      </s:c>
    </s:row>
    <s:row r="41" ht="24" customHeight="1">
      <s:c r="A41" s="46" t="n"/>
      <s:c r="B41" s="47" t="inlineStr">
        <s:is>
          <s:t>TS</s:t>
        </s:is>
      </s:c>
      <s:c r="C41" s="41" t="n">
        <s:v>0</s:v>
      </s:c>
      <s:c r="D41" s="41" t="n">
        <s:v>1</s:v>
      </s:c>
      <s:c r="E41" s="41" t="n">
        <s:v>0</s:v>
      </s:c>
      <s:c r="F41" s="42" t="n">
        <s:v>1</s:v>
      </s:c>
      <s:c r="G41" s="41" t="inlineStr">
        <s:is>
          <s:t>PEY5</s:t>
        </s:is>
      </s:c>
      <s:c r="H41" s="49">
        <s:f>F41/3*10</s:f>
        <s:v>3.33333333333333</s:v>
      </s:c>
      <s:c r="I41" s="49">
        <s:f>H41*7.5%</s:f>
        <s:v>0.25</s:v>
      </s:c>
    </s:row>
    <s:row r="42" ht="24" customHeight="1">
      <s:c r="A42" s="46" t="n"/>
      <s:c r="B42" s="47" t="inlineStr">
        <s:is>
          <s:t>YML</s:t>
        </s:is>
      </s:c>
      <s:c r="C42" s="36" t="n">
        <s:v>0</s:v>
      </s:c>
      <s:c r="D42" s="36" t="n">
        <s:v>0</s:v>
      </s:c>
      <s:c r="E42" s="36" t="n">
        <s:v>0</s:v>
      </s:c>
      <s:c r="F42" s="37" t="n">
        <s:v>0</s:v>
      </s:c>
      <s:c r="G42" s="36" t="inlineStr">
        <s:is>
          <s:t>B7CS</s:t>
        </s:is>
      </s:c>
      <s:c r="H42" s="48">
        <s:f>F42/3*10</s:f>
        <s:v>0</s:v>
      </s:c>
      <s:c r="I42" s="48">
        <s:f>H42*7.5%</s:f>
        <s:v>0</s:v>
      </s:c>
    </s:row>
    <s:row r="45" ht="30" customHeight="1">
      <s:c r="A45" s="50" t="inlineStr">
        <s:is>
          <s:t>Quiz 1: maximum 3 raw points. Grade / 10 = raw points ÷ 3 × 10. This quiz contributes 7.5% of the course grade, at most 0.75 course points.</s:t>
        </s:is>
      </s:c>
    </s:row>
    <s:row r="46" ht="30" customHeight="1">
      <s:c r="A46" s="51" t="inlineStr">
        <s:is>
          <s:t>For the same quiz and student ID, the highest score across original and makeup attempts is retained.</s:t>
        </s:is>
      </s:c>
    </s:row>
  </s:sheetData>
  <s:autoFilter ref="A1:I42"/>
  <s:mergeCells count="2">
    <s:mergeCell ref="A45:I45"/>
    <s:mergeCell ref="A46:I46"/>
  </s:mergeCells>
  <s:dataValidations count="1">
    <s:dataValidation sqref="C2:E42" showDropDown="0" showInputMessage="0" showErrorMessage="1" allowBlank="0" errorTitle="Invalid question score" error="Each question score must be 0 or 1." type="whole" operator="between">
      <s:formula1>0</s:formula1>
      <s:formula2>1</s:formula2>
    </s:dataValidation>
  </s:dataValidations>
  <s:pageMargins left="0.75" right="0.75" top="1" bottom="1" header="0.5" footer="0.5"/>
  <s:pageSetup orientation="landscape" paperSize="9" fitToHeight="0" fitToWidth="1"/>
  <s:headerFooter>
    <s:oddHeader/>
    <s:oddFooter>&amp;CQuiz 1 — private grading record&amp;RPage &amp;P of &amp;N</s:oddFooter>
    <s:evenHeader/>
    <s:evenFooter/>
    <s:firstHeader/>
    <s:firstFooter/>
  </s:headerFooter>
  <s:legacyDrawing r:id="anysvml"/>
</s:worksheet>
</file>

<file path=xl/worksheets/sheet2.xml><?xml version="1.0" encoding="utf-8"?>
<s:worksheet xmlns:r="http://schemas.openxmlformats.org/officeDocument/2006/relationships" xmlns:s="http://schemas.openxmlformats.org/spreadsheetml/2006/main">
  <s:sheetPr>
    <s:tabColor rgb="00E85D4A"/>
    <s:outlinePr summaryBelow="1" summaryRight="1"/>
    <s:pageSetUpPr fitToPage="1"/>
  </s:sheetPr>
  <s:dimension ref="A1:I41"/>
  <s:sheetViews>
    <s:sheetView showGridLines="0" zoomScale="90" workbookViewId="0">
      <s:pane xSplit="2" ySplit="1" topLeftCell="C2" activePane="bottomRight" state="frozen"/>
      <s:selection pane="top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13" customWidth="1" min="1" max="1"/>
    <s:col width="33" customWidth="1" min="2" max="2"/>
    <s:col width="13" customWidth="1" min="3" max="3"/>
    <s:col width="13" customWidth="1" min="4" max="4"/>
    <s:col width="13" customWidth="1" min="5" max="5"/>
    <s:col width="12" customWidth="1" min="6" max="6"/>
    <s:col width="10" customWidth="1" min="7" max="7"/>
    <s:col width="16" customWidth="1" min="8" max="8"/>
    <s:col width="24" customWidth="1" min="9" max="9"/>
  </s:cols>
  <s:sheetData>
    <s:row r="1" ht="30" customHeight="1">
      <s:c r="A1" s="32" t="inlineStr">
        <s:is>
          <s:t>Student ID</s:t>
        </s:is>
      </s:c>
      <s:c r="B1" s="33" t="inlineStr">
        <s:is>
          <s:t>Name (if no ID)</s:t>
        </s:is>
      </s:c>
      <s:c r="C1" s="32" t="inlineStr">
        <s:is>
          <s:t>Question 1</s:t>
        </s:is>
      </s:c>
      <s:c r="D1" s="32" t="inlineStr">
        <s:is>
          <s:t>Question 2</s:t>
        </s:is>
      </s:c>
      <s:c r="E1" s="32" t="inlineStr">
        <s:is>
          <s:t>Question 3</s:t>
        </s:is>
      </s:c>
      <s:c r="F1" s="32" t="inlineStr">
        <s:is>
          <s:t>Total / 3</s:t>
        </s:is>
      </s:c>
      <s:c r="G1" s="32" t="inlineStr">
        <s:is>
          <s:t>Form</s:t>
        </s:is>
      </s:c>
      <s:c r="H1" s="32" t="inlineStr">
        <s:is>
          <s:t>Grade / 10</s:t>
        </s:is>
      </s:c>
      <s:c r="I1" s="32" t="inlineStr">
        <s:is>
          <s:t>Course points / 0.75</s:t>
        </s:is>
      </s:c>
    </s:row>
    <s:row r="2" ht="24" customHeight="1">
      <s:c r="A2" s="34" t="inlineStr">
        <s:is>
          <s:t>200</s:t>
        </s:is>
      </s:c>
      <s:c r="B2" s="35" t="n"/>
      <s:c r="C2" s="36" t="n">
        <s:v>1</s:v>
      </s:c>
      <s:c r="D2" s="36" t="n">
        <s:v>0</s:v>
      </s:c>
      <s:c r="E2" s="36" t="n">
        <s:v>1</s:v>
      </s:c>
      <s:c r="F2" s="37" t="n">
        <s:v>2</s:v>
      </s:c>
      <s:c r="G2" s="36" t="inlineStr">
        <s:is>
          <s:t>8NDK</s:t>
        </s:is>
      </s:c>
      <s:c r="H2" s="48">
        <s:f>F2/3*10</s:f>
        <s:v>6.66666666666667</s:v>
      </s:c>
      <s:c r="I2" s="48">
        <s:f>H2*7.5%</s:f>
        <s:v>0.5</s:v>
      </s:c>
    </s:row>
    <s:row r="3" ht="24" customHeight="1">
      <s:c r="A3" s="39" t="inlineStr">
        <s:is>
          <s:t>201</s:t>
        </s:is>
      </s:c>
      <s:c r="B3" s="40" t="n"/>
      <s:c r="C3" s="41" t="n">
        <s:v>1</s:v>
      </s:c>
      <s:c r="D3" s="41" t="n">
        <s:v>1</s:v>
      </s:c>
      <s:c r="E3" s="41" t="n">
        <s:v>1</s:v>
      </s:c>
      <s:c r="F3" s="42" t="n">
        <s:v>3</s:v>
      </s:c>
      <s:c r="G3" s="41" t="inlineStr">
        <s:is>
          <s:t>N3VX</s:t>
        </s:is>
      </s:c>
      <s:c r="H3" s="49">
        <s:f>F3/3*10</s:f>
        <s:v>10</s:v>
      </s:c>
      <s:c r="I3" s="49">
        <s:f>H3*7.5%</s:f>
        <s:v>0.75</s:v>
      </s:c>
    </s:row>
    <s:row r="4" ht="24" customHeight="1">
      <s:c r="A4" s="34" t="inlineStr">
        <s:is>
          <s:t>202</s:t>
        </s:is>
      </s:c>
      <s:c r="B4" s="35" t="n"/>
      <s:c r="C4" s="36" t="n">
        <s:v>1</s:v>
      </s:c>
      <s:c r="D4" s="36" t="n">
        <s:v>1</s:v>
      </s:c>
      <s:c r="E4" s="36" t="n">
        <s:v>0</s:v>
      </s:c>
      <s:c r="F4" s="37" t="n">
        <s:v>2</s:v>
      </s:c>
      <s:c r="G4" s="36" t="inlineStr">
        <s:is>
          <s:t>TW3R</s:t>
        </s:is>
      </s:c>
      <s:c r="H4" s="48">
        <s:f>F4/3*10</s:f>
        <s:v>6.66666666666667</s:v>
      </s:c>
      <s:c r="I4" s="48">
        <s:f>H4*7.5%</s:f>
        <s:v>0.5</s:v>
      </s:c>
    </s:row>
    <s:row r="5" ht="24" customHeight="1">
      <s:c r="A5" s="39" t="inlineStr">
        <s:is>
          <s:t>203</s:t>
        </s:is>
      </s:c>
      <s:c r="B5" s="40" t="n"/>
      <s:c r="C5" s="41" t="n">
        <s:v>1</s:v>
      </s:c>
      <s:c r="D5" s="41" t="n">
        <s:v>1</s:v>
      </s:c>
      <s:c r="E5" s="41" t="n">
        <s:v>1</s:v>
      </s:c>
      <s:c r="F5" s="42" t="n">
        <s:v>3</s:v>
      </s:c>
      <s:c r="G5" s="41" t="inlineStr">
        <s:is>
          <s:t>J2WJ</s:t>
        </s:is>
      </s:c>
      <s:c r="H5" s="49">
        <s:f>F5/3*10</s:f>
        <s:v>10</s:v>
      </s:c>
      <s:c r="I5" s="49">
        <s:f>H5*7.5%</s:f>
        <s:v>0.75</s:v>
      </s:c>
    </s:row>
    <s:row r="6" ht="24" customHeight="1">
      <s:c r="A6" s="34" t="inlineStr">
        <s:is>
          <s:t>204</s:t>
        </s:is>
      </s:c>
      <s:c r="B6" s="35" t="n"/>
      <s:c r="C6" s="36" t="n">
        <s:v>1</s:v>
      </s:c>
      <s:c r="D6" s="36" t="n">
        <s:v>1</s:v>
      </s:c>
      <s:c r="E6" s="36" t="n">
        <s:v>1</s:v>
      </s:c>
      <s:c r="F6" s="37" t="n">
        <s:v>3</s:v>
      </s:c>
      <s:c r="G6" s="36" t="inlineStr">
        <s:is>
          <s:t>8NDK</s:t>
        </s:is>
      </s:c>
      <s:c r="H6" s="48">
        <s:f>F6/3*10</s:f>
        <s:v>10</s:v>
      </s:c>
      <s:c r="I6" s="48">
        <s:f>H6*7.5%</s:f>
        <s:v>0.75</s:v>
      </s:c>
    </s:row>
    <s:row r="7" ht="24" customHeight="1">
      <s:c r="A7" s="39" t="inlineStr">
        <s:is>
          <s:t>206</s:t>
        </s:is>
      </s:c>
      <s:c r="B7" s="40" t="n"/>
      <s:c r="C7" s="41" t="n">
        <s:v>1</s:v>
      </s:c>
      <s:c r="D7" s="41" t="n">
        <s:v>1</s:v>
      </s:c>
      <s:c r="E7" s="41" t="n">
        <s:v>0</s:v>
      </s:c>
      <s:c r="F7" s="42" t="n">
        <s:v>2</s:v>
      </s:c>
      <s:c r="G7" s="41" t="inlineStr">
        <s:is>
          <s:t>J2WJ</s:t>
        </s:is>
      </s:c>
      <s:c r="H7" s="49">
        <s:f>F7/3*10</s:f>
        <s:v>6.66666666666667</s:v>
      </s:c>
      <s:c r="I7" s="49">
        <s:f>H7*7.5%</s:f>
        <s:v>0.5</s:v>
      </s:c>
    </s:row>
    <s:row r="8" ht="24" customHeight="1">
      <s:c r="A8" s="34" t="inlineStr">
        <s:is>
          <s:t>207</s:t>
        </s:is>
      </s:c>
      <s:c r="B8" s="35" t="n"/>
      <s:c r="C8" s="36" t="n">
        <s:v>1</s:v>
      </s:c>
      <s:c r="D8" s="36" t="n">
        <s:v>0</s:v>
      </s:c>
      <s:c r="E8" s="36" t="n">
        <s:v>1</s:v>
      </s:c>
      <s:c r="F8" s="37" t="n">
        <s:v>2</s:v>
      </s:c>
      <s:c r="G8" s="36" t="inlineStr">
        <s:is>
          <s:t>TW3R</s:t>
        </s:is>
      </s:c>
      <s:c r="H8" s="48">
        <s:f>F8/3*10</s:f>
        <s:v>6.66666666666667</s:v>
      </s:c>
      <s:c r="I8" s="48">
        <s:f>H8*7.5%</s:f>
        <s:v>0.5</s:v>
      </s:c>
    </s:row>
    <s:row r="9" ht="24" customHeight="1">
      <s:c r="A9" s="39" t="inlineStr">
        <s:is>
          <s:t>208</s:t>
        </s:is>
      </s:c>
      <s:c r="B9" s="40" t="n"/>
      <s:c r="C9" s="41" t="n">
        <s:v>1</s:v>
      </s:c>
      <s:c r="D9" s="41" t="n">
        <s:v>1</s:v>
      </s:c>
      <s:c r="E9" s="41" t="n">
        <s:v>0</s:v>
      </s:c>
      <s:c r="F9" s="42" t="n">
        <s:v>2</s:v>
      </s:c>
      <s:c r="G9" s="41" t="inlineStr">
        <s:is>
          <s:t>J2WJ</s:t>
        </s:is>
      </s:c>
      <s:c r="H9" s="49">
        <s:f>F9/3*10</s:f>
        <s:v>6.66666666666667</s:v>
      </s:c>
      <s:c r="I9" s="49">
        <s:f>H9*7.5%</s:f>
        <s:v>0.5</s:v>
      </s:c>
    </s:row>
    <s:row r="10" ht="24" customHeight="1">
      <s:c r="A10" s="34" t="inlineStr">
        <s:is>
          <s:t>209</s:t>
        </s:is>
      </s:c>
      <s:c r="B10" s="35" t="n"/>
      <s:c r="C10" s="36" t="n">
        <s:v>1</s:v>
      </s:c>
      <s:c r="D10" s="36" t="n">
        <s:v>1</s:v>
      </s:c>
      <s:c r="E10" s="36" t="n">
        <s:v>1</s:v>
      </s:c>
      <s:c r="F10" s="37" t="n">
        <s:v>3</s:v>
      </s:c>
      <s:c r="G10" s="36" t="inlineStr">
        <s:is>
          <s:t>TW3R</s:t>
        </s:is>
      </s:c>
      <s:c r="H10" s="48">
        <s:f>F10/3*10</s:f>
        <s:v>10</s:v>
      </s:c>
      <s:c r="I10" s="48">
        <s:f>H10*7.5%</s:f>
        <s:v>0.75</s:v>
      </s:c>
    </s:row>
    <s:row r="11" ht="24" customHeight="1">
      <s:c r="A11" s="39" t="inlineStr">
        <s:is>
          <s:t>210</s:t>
        </s:is>
      </s:c>
      <s:c r="B11" s="40" t="n"/>
      <s:c r="C11" s="41" t="n">
        <s:v>1</s:v>
      </s:c>
      <s:c r="D11" s="41" t="n">
        <s:v>0</s:v>
      </s:c>
      <s:c r="E11" s="41" t="n">
        <s:v>1</s:v>
      </s:c>
      <s:c r="F11" s="42" t="n">
        <s:v>2</s:v>
      </s:c>
      <s:c r="G11" s="41" t="inlineStr">
        <s:is>
          <s:t>TW3R</s:t>
        </s:is>
      </s:c>
      <s:c r="H11" s="49">
        <s:f>F11/3*10</s:f>
        <s:v>6.66666666666667</s:v>
      </s:c>
      <s:c r="I11" s="49">
        <s:f>H11*7.5%</s:f>
        <s:v>0.5</s:v>
      </s:c>
    </s:row>
    <s:row r="12" ht="24" customHeight="1">
      <s:c r="A12" s="34" t="inlineStr">
        <s:is>
          <s:t>211</s:t>
        </s:is>
      </s:c>
      <s:c r="B12" s="35" t="n"/>
      <s:c r="C12" s="36" t="n">
        <s:v>1</s:v>
      </s:c>
      <s:c r="D12" s="36" t="n">
        <s:v>0</s:v>
      </s:c>
      <s:c r="E12" s="36" t="n">
        <s:v>1</s:v>
      </s:c>
      <s:c r="F12" s="37" t="n">
        <s:v>2</s:v>
      </s:c>
      <s:c r="G12" s="36" t="inlineStr">
        <s:is>
          <s:t>EA3R</s:t>
        </s:is>
      </s:c>
      <s:c r="H12" s="48">
        <s:f>F12/3*10</s:f>
        <s:v>6.66666666666667</s:v>
      </s:c>
      <s:c r="I12" s="48">
        <s:f>H12*7.5%</s:f>
        <s:v>0.5</s:v>
      </s:c>
    </s:row>
    <s:row r="13" ht="24" customHeight="1">
      <s:c r="A13" s="39" t="inlineStr">
        <s:is>
          <s:t>212</s:t>
        </s:is>
      </s:c>
      <s:c r="B13" s="40" t="n"/>
      <s:c r="C13" s="41" t="n">
        <s:v>1</s:v>
      </s:c>
      <s:c r="D13" s="41" t="n">
        <s:v>1</s:v>
      </s:c>
      <s:c r="E13" s="41" t="n">
        <s:v>1</s:v>
      </s:c>
      <s:c r="F13" s="42" t="n">
        <s:v>3</s:v>
      </s:c>
      <s:c r="G13" s="41" t="inlineStr">
        <s:is>
          <s:t>TW3R</s:t>
        </s:is>
      </s:c>
      <s:c r="H13" s="49">
        <s:f>F13/3*10</s:f>
        <s:v>10</s:v>
      </s:c>
      <s:c r="I13" s="49">
        <s:f>H13*7.5%</s:f>
        <s:v>0.75</s:v>
      </s:c>
    </s:row>
    <s:row r="14" ht="24" customHeight="1">
      <s:c r="A14" s="34" t="inlineStr">
        <s:is>
          <s:t>213</s:t>
        </s:is>
      </s:c>
      <s:c r="B14" s="35" t="n"/>
      <s:c r="C14" s="36" t="n">
        <s:v>1</s:v>
      </s:c>
      <s:c r="D14" s="36" t="n">
        <s:v>0</s:v>
      </s:c>
      <s:c r="E14" s="36" t="n">
        <s:v>0</s:v>
      </s:c>
      <s:c r="F14" s="37" t="n">
        <s:v>1</s:v>
      </s:c>
      <s:c r="G14" s="36" t="inlineStr">
        <s:is>
          <s:t>8NDK</s:t>
        </s:is>
      </s:c>
      <s:c r="H14" s="48">
        <s:f>F14/3*10</s:f>
        <s:v>3.33333333333333</s:v>
      </s:c>
      <s:c r="I14" s="48">
        <s:f>H14*7.5%</s:f>
        <s:v>0.25</s:v>
      </s:c>
    </s:row>
    <s:row r="15" ht="24" customHeight="1">
      <s:c r="A15" s="39" t="inlineStr">
        <s:is>
          <s:t>214</s:t>
        </s:is>
      </s:c>
      <s:c r="B15" s="40" t="n"/>
      <s:c r="C15" s="41" t="n">
        <s:v>1</s:v>
      </s:c>
      <s:c r="D15" s="41" t="n">
        <s:v>1</s:v>
      </s:c>
      <s:c r="E15" s="41" t="n">
        <s:v>1</s:v>
      </s:c>
      <s:c r="F15" s="42" t="n">
        <s:v>3</s:v>
      </s:c>
      <s:c r="G15" s="41" t="inlineStr">
        <s:is>
          <s:t>J2WJ</s:t>
        </s:is>
      </s:c>
      <s:c r="H15" s="49">
        <s:f>F15/3*10</s:f>
        <s:v>10</s:v>
      </s:c>
      <s:c r="I15" s="49">
        <s:f>H15*7.5%</s:f>
        <s:v>0.75</s:v>
      </s:c>
    </s:row>
    <s:row r="16" ht="24" customHeight="1">
      <s:c r="A16" s="34" t="inlineStr">
        <s:is>
          <s:t>215</s:t>
        </s:is>
      </s:c>
      <s:c r="B16" s="35" t="n"/>
      <s:c r="C16" s="36" t="n">
        <s:v>1</s:v>
      </s:c>
      <s:c r="D16" s="36" t="n">
        <s:v>0</s:v>
      </s:c>
      <s:c r="E16" s="36" t="n">
        <s:v>1</s:v>
      </s:c>
      <s:c r="F16" s="37" t="n">
        <s:v>2</s:v>
      </s:c>
      <s:c r="G16" s="36" t="inlineStr">
        <s:is>
          <s:t>J2WJ</s:t>
        </s:is>
      </s:c>
      <s:c r="H16" s="48">
        <s:f>F16/3*10</s:f>
        <s:v>6.66666666666667</s:v>
      </s:c>
      <s:c r="I16" s="48">
        <s:f>H16*7.5%</s:f>
        <s:v>0.5</s:v>
      </s:c>
    </s:row>
    <s:row r="17" ht="24" customHeight="1">
      <s:c r="A17" s="39" t="inlineStr">
        <s:is>
          <s:t>216</s:t>
        </s:is>
      </s:c>
      <s:c r="B17" s="40" t="n"/>
      <s:c r="C17" s="41" t="n">
        <s:v>0</s:v>
      </s:c>
      <s:c r="D17" s="41" t="n">
        <s:v>1</s:v>
      </s:c>
      <s:c r="E17" s="41" t="n">
        <s:v>0</s:v>
      </s:c>
      <s:c r="F17" s="42" t="n">
        <s:v>1</s:v>
      </s:c>
      <s:c r="G17" s="41" t="inlineStr">
        <s:is>
          <s:t>XA44</s:t>
        </s:is>
      </s:c>
      <s:c r="H17" s="49">
        <s:f>F17/3*10</s:f>
        <s:v>3.33333333333333</s:v>
      </s:c>
      <s:c r="I17" s="49">
        <s:f>H17*7.5%</s:f>
        <s:v>0.25</s:v>
      </s:c>
    </s:row>
    <s:row r="18" ht="24" customHeight="1">
      <s:c r="A18" s="34" t="inlineStr">
        <s:is>
          <s:t>217</s:t>
        </s:is>
      </s:c>
      <s:c r="B18" s="35" t="n"/>
      <s:c r="C18" s="36" t="n">
        <s:v>1</s:v>
      </s:c>
      <s:c r="D18" s="36" t="n">
        <s:v>1</s:v>
      </s:c>
      <s:c r="E18" s="36" t="n">
        <s:v>0</s:v>
      </s:c>
      <s:c r="F18" s="37" t="n">
        <s:v>2</s:v>
      </s:c>
      <s:c r="G18" s="36" t="inlineStr">
        <s:is>
          <s:t>EA3R</s:t>
        </s:is>
      </s:c>
      <s:c r="H18" s="48">
        <s:f>F18/3*10</s:f>
        <s:v>6.66666666666667</s:v>
      </s:c>
      <s:c r="I18" s="48">
        <s:f>H18*7.5%</s:f>
        <s:v>0.5</s:v>
      </s:c>
    </s:row>
    <s:row r="19" ht="24" customHeight="1">
      <s:c r="A19" s="34" t="inlineStr">
        <s:is>
          <s:t>219</s:t>
        </s:is>
      </s:c>
      <s:c r="B19" s="35" t="n"/>
      <s:c r="C19" s="36" t="n">
        <s:v>1</s:v>
      </s:c>
      <s:c r="D19" s="36" t="n">
        <s:v>1</s:v>
      </s:c>
      <s:c r="E19" s="36" t="n">
        <s:v>0</s:v>
      </s:c>
      <s:c r="F19" s="37" t="n">
        <s:v>2</s:v>
      </s:c>
      <s:c r="G19" s="36" t="inlineStr">
        <s:is>
          <s:t>N7HF</s:t>
        </s:is>
      </s:c>
      <s:c r="H19" s="48">
        <s:f>F19/3*10</s:f>
        <s:v>6.66666666666667</s:v>
      </s:c>
      <s:c r="I19" s="48">
        <s:f>H19*7.5%</s:f>
        <s:v>0.5</s:v>
      </s:c>
    </s:row>
    <s:row r="20" ht="24" customHeight="1">
      <s:c r="A20" s="39" t="inlineStr">
        <s:is>
          <s:t>221</s:t>
        </s:is>
      </s:c>
      <s:c r="B20" s="40" t="n"/>
      <s:c r="C20" s="41" t="n">
        <s:v>1</s:v>
      </s:c>
      <s:c r="D20" s="41" t="n">
        <s:v>1</s:v>
      </s:c>
      <s:c r="E20" s="41" t="n">
        <s:v>1</s:v>
      </s:c>
      <s:c r="F20" s="42" t="n">
        <s:v>3</s:v>
      </s:c>
      <s:c r="G20" s="41" t="inlineStr">
        <s:is>
          <s:t>N8KR</s:t>
        </s:is>
      </s:c>
      <s:c r="H20" s="49">
        <s:f>F20/3*10</s:f>
        <s:v>10</s:v>
      </s:c>
      <s:c r="I20" s="49">
        <s:f>H20*7.5%</s:f>
        <s:v>0.75</s:v>
      </s:c>
    </s:row>
    <s:row r="21" ht="24" customHeight="1">
      <s:c r="A21" s="34" t="inlineStr">
        <s:is>
          <s:t>222</s:t>
        </s:is>
      </s:c>
      <s:c r="B21" s="35" t="n"/>
      <s:c r="C21" s="36" t="n">
        <s:v>1</s:v>
      </s:c>
      <s:c r="D21" s="36" t="n">
        <s:v>1</s:v>
      </s:c>
      <s:c r="E21" s="36" t="n">
        <s:v>0</s:v>
      </s:c>
      <s:c r="F21" s="37" t="n">
        <s:v>2</s:v>
      </s:c>
      <s:c r="G21" s="36" t="inlineStr">
        <s:is>
          <s:t>XA44</s:t>
        </s:is>
      </s:c>
      <s:c r="H21" s="48">
        <s:f>F21/3*10</s:f>
        <s:v>6.66666666666667</s:v>
      </s:c>
      <s:c r="I21" s="48">
        <s:f>H21*7.5%</s:f>
        <s:v>0.5</s:v>
      </s:c>
    </s:row>
    <s:row r="22" ht="24" customHeight="1">
      <s:c r="A22" s="39" t="inlineStr">
        <s:is>
          <s:t>223</s:t>
        </s:is>
      </s:c>
      <s:c r="B22" s="40" t="n"/>
      <s:c r="C22" s="41" t="n">
        <s:v>1</s:v>
      </s:c>
      <s:c r="D22" s="41" t="n">
        <s:v>1</s:v>
      </s:c>
      <s:c r="E22" s="41" t="n">
        <s:v>0</s:v>
      </s:c>
      <s:c r="F22" s="42" t="n">
        <s:v>2</s:v>
      </s:c>
      <s:c r="G22" s="41" t="inlineStr">
        <s:is>
          <s:t>8NDK</s:t>
        </s:is>
      </s:c>
      <s:c r="H22" s="49">
        <s:f>F22/3*10</s:f>
        <s:v>6.66666666666667</s:v>
      </s:c>
      <s:c r="I22" s="49">
        <s:f>H22*7.5%</s:f>
        <s:v>0.5</s:v>
      </s:c>
    </s:row>
    <s:row r="23" ht="24" customHeight="1">
      <s:c r="A23" s="34" t="inlineStr">
        <s:is>
          <s:t>224</s:t>
        </s:is>
      </s:c>
      <s:c r="B23" s="35" t="n"/>
      <s:c r="C23" s="36" t="n">
        <s:v>1</s:v>
      </s:c>
      <s:c r="D23" s="36" t="n">
        <s:v>1</s:v>
      </s:c>
      <s:c r="E23" s="36" t="n">
        <s:v>0</s:v>
      </s:c>
      <s:c r="F23" s="37" t="n">
        <s:v>2</s:v>
      </s:c>
      <s:c r="G23" s="36" t="inlineStr">
        <s:is>
          <s:t>EA3R</s:t>
        </s:is>
      </s:c>
      <s:c r="H23" s="48">
        <s:f>F23/3*10</s:f>
        <s:v>6.66666666666667</s:v>
      </s:c>
      <s:c r="I23" s="48">
        <s:f>H23*7.5%</s:f>
        <s:v>0.5</s:v>
      </s:c>
    </s:row>
    <s:row r="24" ht="24" customHeight="1">
      <s:c r="A24" s="39" t="inlineStr">
        <s:is>
          <s:t>225</s:t>
        </s:is>
      </s:c>
      <s:c r="B24" s="40" t="n"/>
      <s:c r="C24" s="41" t="n">
        <s:v>1</s:v>
      </s:c>
      <s:c r="D24" s="41" t="n">
        <s:v>1</s:v>
      </s:c>
      <s:c r="E24" s="41" t="n">
        <s:v>1</s:v>
      </s:c>
      <s:c r="F24" s="42" t="n">
        <s:v>3</s:v>
      </s:c>
      <s:c r="G24" s="41" t="inlineStr">
        <s:is>
          <s:t>XA44</s:t>
        </s:is>
      </s:c>
      <s:c r="H24" s="49">
        <s:f>F24/3*10</s:f>
        <s:v>10</s:v>
      </s:c>
      <s:c r="I24" s="49">
        <s:f>H24*7.5%</s:f>
        <s:v>0.75</s:v>
      </s:c>
    </s:row>
    <s:row r="25" ht="24" customHeight="1">
      <s:c r="A25" s="34" t="inlineStr">
        <s:is>
          <s:t>226</s:t>
        </s:is>
      </s:c>
      <s:c r="B25" s="35" t="n"/>
      <s:c r="C25" s="36" t="n">
        <s:v>1</s:v>
      </s:c>
      <s:c r="D25" s="36" t="n">
        <s:v>1</s:v>
      </s:c>
      <s:c r="E25" s="36" t="n">
        <s:v>1</s:v>
      </s:c>
      <s:c r="F25" s="37" t="n">
        <s:v>3</s:v>
      </s:c>
      <s:c r="G25" s="36" t="inlineStr">
        <s:is>
          <s:t>NPLE</s:t>
        </s:is>
      </s:c>
      <s:c r="H25" s="48">
        <s:f>F25/3*10</s:f>
        <s:v>10</s:v>
      </s:c>
      <s:c r="I25" s="48">
        <s:f>H25*7.5%</s:f>
        <s:v>0.75</s:v>
      </s:c>
    </s:row>
    <s:row r="26" ht="24" customHeight="1">
      <s:c r="A26" s="39" t="inlineStr">
        <s:is>
          <s:t>227</s:t>
        </s:is>
      </s:c>
      <s:c r="B26" s="40" t="n"/>
      <s:c r="C26" s="41" t="n">
        <s:v>1</s:v>
      </s:c>
      <s:c r="D26" s="41" t="n">
        <s:v>0</s:v>
      </s:c>
      <s:c r="E26" s="41" t="n">
        <s:v>0</s:v>
      </s:c>
      <s:c r="F26" s="42" t="n">
        <s:v>1</s:v>
      </s:c>
      <s:c r="G26" s="41" t="inlineStr">
        <s:is>
          <s:t>8NDK</s:t>
        </s:is>
      </s:c>
      <s:c r="H26" s="49">
        <s:f>F26/3*10</s:f>
        <s:v>3.33333333333333</s:v>
      </s:c>
      <s:c r="I26" s="49">
        <s:f>H26*7.5%</s:f>
        <s:v>0.25</s:v>
      </s:c>
    </s:row>
    <s:row r="27" ht="24" customHeight="1">
      <s:c r="A27" s="34" t="inlineStr">
        <s:is>
          <s:t>228</s:t>
        </s:is>
      </s:c>
      <s:c r="B27" s="35" t="n"/>
      <s:c r="C27" s="36" t="n">
        <s:v>1</s:v>
      </s:c>
      <s:c r="D27" s="36" t="n">
        <s:v>1</s:v>
      </s:c>
      <s:c r="E27" s="36" t="n">
        <s:v>1</s:v>
      </s:c>
      <s:c r="F27" s="37" t="n">
        <s:v>3</s:v>
      </s:c>
      <s:c r="G27" s="36" t="inlineStr">
        <s:is>
          <s:t>NAP2</s:t>
        </s:is>
      </s:c>
      <s:c r="H27" s="48">
        <s:f>F27/3*10</s:f>
        <s:v>10</s:v>
      </s:c>
      <s:c r="I27" s="48">
        <s:f>H27*7.5%</s:f>
        <s:v>0.75</s:v>
      </s:c>
    </s:row>
    <s:row r="28" ht="24" customHeight="1">
      <s:c r="A28" s="39" t="inlineStr">
        <s:is>
          <s:t>229</s:t>
        </s:is>
      </s:c>
      <s:c r="B28" s="40" t="n"/>
      <s:c r="C28" s="41" t="n">
        <s:v>0</s:v>
      </s:c>
      <s:c r="D28" s="41" t="n">
        <s:v>1</s:v>
      </s:c>
      <s:c r="E28" s="41" t="n">
        <s:v>0</s:v>
      </s:c>
      <s:c r="F28" s="42" t="n">
        <s:v>1</s:v>
      </s:c>
      <s:c r="G28" s="41" t="inlineStr">
        <s:is>
          <s:t>EA3R</s:t>
        </s:is>
      </s:c>
      <s:c r="H28" s="49">
        <s:f>F28/3*10</s:f>
        <s:v>3.33333333333333</s:v>
      </s:c>
      <s:c r="I28" s="49">
        <s:f>H28*7.5%</s:f>
        <s:v>0.25</s:v>
      </s:c>
    </s:row>
    <s:row r="29" ht="24" customHeight="1">
      <s:c r="A29" s="34" t="inlineStr">
        <s:is>
          <s:t>230</s:t>
        </s:is>
      </s:c>
      <s:c r="B29" s="35" t="n"/>
      <s:c r="C29" s="36" t="n">
        <s:v>1</s:v>
      </s:c>
      <s:c r="D29" s="36" t="n">
        <s:v>1</s:v>
      </s:c>
      <s:c r="E29" s="36" t="n">
        <s:v>0</s:v>
      </s:c>
      <s:c r="F29" s="37" t="n">
        <s:v>2</s:v>
      </s:c>
      <s:c r="G29" s="36" t="inlineStr">
        <s:is>
          <s:t>XA44</s:t>
        </s:is>
      </s:c>
      <s:c r="H29" s="48">
        <s:f>F29/3*10</s:f>
        <s:v>6.66666666666667</s:v>
      </s:c>
      <s:c r="I29" s="48">
        <s:f>H29*7.5%</s:f>
        <s:v>0.5</s:v>
      </s:c>
    </s:row>
    <s:row r="30" ht="24" customHeight="1">
      <s:c r="A30" s="39" t="inlineStr">
        <s:is>
          <s:t>232</s:t>
        </s:is>
      </s:c>
      <s:c r="B30" s="40" t="n"/>
      <s:c r="C30" s="41" t="n">
        <s:v>1</s:v>
      </s:c>
      <s:c r="D30" s="41" t="n">
        <s:v>1</s:v>
      </s:c>
      <s:c r="E30" s="41" t="n">
        <s:v>0</s:v>
      </s:c>
      <s:c r="F30" s="42" t="n">
        <s:v>2</s:v>
      </s:c>
      <s:c r="G30" s="41" t="inlineStr">
        <s:is>
          <s:t>XA44</s:t>
        </s:is>
      </s:c>
      <s:c r="H30" s="49">
        <s:f>F30/3*10</s:f>
        <s:v>6.66666666666667</s:v>
      </s:c>
      <s:c r="I30" s="49">
        <s:f>H30*7.5%</s:f>
        <s:v>0.5</s:v>
      </s:c>
    </s:row>
    <s:row r="31" ht="24" customHeight="1">
      <s:c r="A31" s="34" t="inlineStr">
        <s:is>
          <s:t>233</s:t>
        </s:is>
      </s:c>
      <s:c r="B31" s="35" t="n"/>
      <s:c r="C31" s="36" t="n">
        <s:v>1</s:v>
      </s:c>
      <s:c r="D31" s="36" t="n">
        <s:v>1</s:v>
      </s:c>
      <s:c r="E31" s="36" t="n">
        <s:v>0</s:v>
      </s:c>
      <s:c r="F31" s="37" t="n">
        <s:v>2</s:v>
      </s:c>
      <s:c r="G31" s="36" t="inlineStr">
        <s:is>
          <s:t>J2WJ</s:t>
        </s:is>
      </s:c>
      <s:c r="H31" s="48">
        <s:f>F31/3*10</s:f>
        <s:v>6.66666666666667</s:v>
      </s:c>
      <s:c r="I31" s="48">
        <s:f>H31*7.5%</s:f>
        <s:v>0.5</s:v>
      </s:c>
    </s:row>
    <s:row r="32" ht="24" customHeight="1">
      <s:c r="A32" s="34" t="inlineStr">
        <s:is>
          <s:t>234</s:t>
        </s:is>
      </s:c>
      <s:c r="B32" s="35" t="n"/>
      <s:c r="C32" s="36" t="n">
        <s:v>1</s:v>
      </s:c>
      <s:c r="D32" s="36" t="n">
        <s:v>0</s:v>
      </s:c>
      <s:c r="E32" s="36" t="n">
        <s:v>1</s:v>
      </s:c>
      <s:c r="F32" s="37" t="n">
        <s:v>2</s:v>
      </s:c>
      <s:c r="G32" s="36" t="inlineStr">
        <s:is>
          <s:t>N2WD</s:t>
        </s:is>
      </s:c>
      <s:c r="H32" s="48">
        <s:f>F32/3*10</s:f>
        <s:v>6.66666666666667</s:v>
      </s:c>
      <s:c r="I32" s="48">
        <s:f>H32*7.5%</s:f>
        <s:v>0.5</s:v>
      </s:c>
    </s:row>
    <s:row r="33" ht="24" customHeight="1">
      <s:c r="A33" s="39" t="inlineStr">
        <s:is>
          <s:t>235</s:t>
        </s:is>
      </s:c>
      <s:c r="B33" s="40" t="n"/>
      <s:c r="C33" s="41" t="n">
        <s:v>0</s:v>
      </s:c>
      <s:c r="D33" s="41" t="n">
        <s:v>0</s:v>
      </s:c>
      <s:c r="E33" s="41" t="n">
        <s:v>0</s:v>
      </s:c>
      <s:c r="F33" s="42" t="n">
        <s:v>0</s:v>
      </s:c>
      <s:c r="G33" s="41" t="inlineStr">
        <s:is>
          <s:t>TW3R</s:t>
        </s:is>
      </s:c>
      <s:c r="H33" s="49">
        <s:f>F33/3*10</s:f>
        <s:v>0</s:v>
      </s:c>
      <s:c r="I33" s="49">
        <s:f>H33*7.5%</s:f>
        <s:v>0</s:v>
      </s:c>
    </s:row>
    <s:row r="34" ht="24" customHeight="1">
      <s:c r="A34" s="34" t="inlineStr">
        <s:is>
          <s:t>237</s:t>
        </s:is>
      </s:c>
      <s:c r="B34" s="35" t="n"/>
      <s:c r="C34" s="36" t="n">
        <s:v>0</s:v>
      </s:c>
      <s:c r="D34" s="36" t="n">
        <s:v>0</s:v>
      </s:c>
      <s:c r="E34" s="36" t="n">
        <s:v>0</s:v>
      </s:c>
      <s:c r="F34" s="37" t="n">
        <s:v>0</s:v>
      </s:c>
      <s:c r="G34" s="36" t="inlineStr">
        <s:is>
          <s:t>N6JP</s:t>
        </s:is>
      </s:c>
      <s:c r="H34" s="48">
        <s:f>F34/3*10</s:f>
        <s:v>0</s:v>
      </s:c>
      <s:c r="I34" s="48">
        <s:f>H34*7.5%</s:f>
        <s:v>0</s:v>
      </s:c>
    </s:row>
    <s:row r="35" ht="24" customHeight="1">
      <s:c r="A35" s="34" t="inlineStr">
        <s:is>
          <s:t>238</s:t>
        </s:is>
      </s:c>
      <s:c r="B35" s="35" t="n"/>
      <s:c r="C35" s="36" t="n">
        <s:v>1</s:v>
      </s:c>
      <s:c r="D35" s="36" t="n">
        <s:v>1</s:v>
      </s:c>
      <s:c r="E35" s="36" t="n">
        <s:v>1</s:v>
      </s:c>
      <s:c r="F35" s="37" t="n">
        <s:v>3</s:v>
      </s:c>
      <s:c r="G35" s="36" t="inlineStr">
        <s:is>
          <s:t>XA44</s:t>
        </s:is>
      </s:c>
      <s:c r="H35" s="48">
        <s:f>F35/3*10</s:f>
        <s:v>10</s:v>
      </s:c>
      <s:c r="I35" s="48">
        <s:f>H35*7.5%</s:f>
        <s:v>0.75</s:v>
      </s:c>
    </s:row>
    <s:row r="36" ht="24" customHeight="1">
      <s:c r="A36" s="39" t="inlineStr">
        <s:is>
          <s:t>239</s:t>
        </s:is>
      </s:c>
      <s:c r="B36" s="40" t="n"/>
      <s:c r="C36" s="41" t="n">
        <s:v>0</s:v>
      </s:c>
      <s:c r="D36" s="41" t="n">
        <s:v>0</s:v>
      </s:c>
      <s:c r="E36" s="41" t="n">
        <s:v>1</s:v>
      </s:c>
      <s:c r="F36" s="42" t="n">
        <s:v>1</s:v>
      </s:c>
      <s:c r="G36" s="41" t="inlineStr">
        <s:is>
          <s:t>NXHX</s:t>
        </s:is>
      </s:c>
      <s:c r="H36" s="49">
        <s:f>F36/3*10</s:f>
        <s:v>3.33333333333333</s:v>
      </s:c>
      <s:c r="I36" s="49">
        <s:f>H36*7.5%</s:f>
        <s:v>0.25</s:v>
      </s:c>
    </s:row>
    <s:row r="37" ht="24" customHeight="1">
      <s:c r="A37" s="34" t="inlineStr">
        <s:is>
          <s:t>240</s:t>
        </s:is>
      </s:c>
      <s:c r="B37" s="35" t="n"/>
      <s:c r="C37" s="36" t="n">
        <s:v>1</s:v>
      </s:c>
      <s:c r="D37" s="36" t="n">
        <s:v>0</s:v>
      </s:c>
      <s:c r="E37" s="36" t="n">
        <s:v>1</s:v>
      </s:c>
      <s:c r="F37" s="37" t="n">
        <s:v>2</s:v>
      </s:c>
      <s:c r="G37" s="36" t="inlineStr">
        <s:is>
          <s:t>EA3R</s:t>
        </s:is>
      </s:c>
      <s:c r="H37" s="48">
        <s:f>F37/3*10</s:f>
        <s:v>6.66666666666667</s:v>
      </s:c>
      <s:c r="I37" s="48">
        <s:f>H37*7.5%</s:f>
        <s:v>0.5</s:v>
      </s:c>
    </s:row>
    <s:row r="40" ht="30" customHeight="1">
      <s:c r="A40" s="50" t="inlineStr">
        <s:is>
          <s:t>Quiz 2: maximum 3 raw points. Grade / 10 = raw points ÷ 3 × 10. This quiz contributes 7.5% of the course grade, at most 0.75 course points.</s:t>
        </s:is>
      </s:c>
    </s:row>
    <s:row r="41" ht="30" customHeight="1">
      <s:c r="A41" s="51" t="inlineStr">
        <s:is>
          <s:t>For the same quiz and student ID, the highest score across original and makeup attempts is retained.</s:t>
        </s:is>
      </s:c>
    </s:row>
  </s:sheetData>
  <s:autoFilter ref="A1:I37"/>
  <s:mergeCells count="2">
    <s:mergeCell ref="A40:I40"/>
    <s:mergeCell ref="A41:I41"/>
  </s:mergeCells>
  <s:dataValidations count="1">
    <s:dataValidation sqref="C2:E37" showDropDown="0" showInputMessage="0" showErrorMessage="1" allowBlank="0" errorTitle="Invalid question score" error="Each question earns either 0 or 1 point." type="whole" operator="between">
      <s:formula1>0</s:formula1>
      <s:formula2>1</s:formula2>
    </s:dataValidation>
  </s:dataValidations>
  <s:pageMargins left="0.75" right="0.75" top="1" bottom="1" header="0.5" footer="0.5"/>
  <s:pageSetup orientation="landscape" paperSize="9" fitToHeight="0" fitToWidth="1"/>
  <s:headerFooter>
    <s:oddHeader/>
    <s:oddFooter>&amp;CQuiz 2&amp;RPage &amp;P of &amp;N</s:oddFooter>
    <s:evenHeader/>
    <s:evenFooter/>
    <s:firstHeader/>
    <s:firstFooter/>
  </s:headerFooter>
  <s:legacyDrawing r:id="anysvml"/>
</s:worksheet>
</file>

<file path=xl/worksheets/sheet3.xml><?xml version="1.0" encoding="utf-8"?>
<s:worksheet xmlns:r="http://schemas.openxmlformats.org/officeDocument/2006/relationships" xmlns:s="http://schemas.openxmlformats.org/spreadsheetml/2006/main">
  <s:sheetPr>
    <s:tabColor rgb="00E85D4A"/>
    <s:outlinePr summaryBelow="1" summaryRight="1"/>
    <s:pageSetUpPr fitToPage="1"/>
  </s:sheetPr>
  <s:dimension ref="A1:I39"/>
  <s:sheetViews>
    <s:sheetView showGridLines="0" zoomScale="90" workbookViewId="0">
      <s:pane xSplit="2" ySplit="1" topLeftCell="C2" activePane="bottomRight" state="frozen"/>
      <s:selection pane="top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13" customWidth="1" min="1" max="1"/>
    <s:col width="33" customWidth="1" min="2" max="2"/>
    <s:col width="13" customWidth="1" min="3" max="3"/>
    <s:col width="13" customWidth="1" min="4" max="4"/>
    <s:col width="13" customWidth="1" min="5" max="5"/>
    <s:col width="12" customWidth="1" min="6" max="6"/>
    <s:col width="10" customWidth="1" min="7" max="7"/>
    <s:col width="16" customWidth="1" min="8" max="8"/>
    <s:col width="24" customWidth="1" min="9" max="9"/>
  </s:cols>
  <s:sheetData>
    <s:row r="1" ht="30" customHeight="1">
      <s:c r="A1" s="32" t="inlineStr">
        <s:is>
          <s:t>Student ID</s:t>
        </s:is>
      </s:c>
      <s:c r="B1" s="33" t="inlineStr">
        <s:is>
          <s:t>Name (if no ID)</s:t>
        </s:is>
      </s:c>
      <s:c r="C1" s="32" t="inlineStr">
        <s:is>
          <s:t>Question 1</s:t>
        </s:is>
      </s:c>
      <s:c r="D1" s="32" t="inlineStr">
        <s:is>
          <s:t>Question 2</s:t>
        </s:is>
      </s:c>
      <s:c r="E1" s="32" t="inlineStr">
        <s:is>
          <s:t>Question 3</s:t>
        </s:is>
      </s:c>
      <s:c r="F1" s="32" t="inlineStr">
        <s:is>
          <s:t>Total / 3</s:t>
        </s:is>
      </s:c>
      <s:c r="G1" s="32" t="inlineStr">
        <s:is>
          <s:t>Form</s:t>
        </s:is>
      </s:c>
      <s:c r="H1" s="32" t="inlineStr">
        <s:is>
          <s:t>Grade / 10</s:t>
        </s:is>
      </s:c>
      <s:c r="I1" s="32" t="inlineStr">
        <s:is>
          <s:t>Course points / 0.75</s:t>
        </s:is>
      </s:c>
    </s:row>
    <s:row r="2" ht="24" customHeight="1">
      <s:c r="A2" s="34" t="inlineStr">
        <s:is>
          <s:t>200</s:t>
        </s:is>
      </s:c>
      <s:c r="B2" s="35" t="n"/>
      <s:c r="C2" s="36" t="n">
        <s:v>1</s:v>
      </s:c>
      <s:c r="D2" s="36" t="n">
        <s:v>1</s:v>
      </s:c>
      <s:c r="E2" s="36" t="n">
        <s:v>1</s:v>
      </s:c>
      <s:c r="F2" s="37" t="n">
        <s:v>3</s:v>
      </s:c>
      <s:c r="G2" s="36" t="inlineStr">
        <s:is>
          <s:t>QKMC</s:t>
        </s:is>
      </s:c>
      <s:c r="H2" s="48">
        <s:f>F2/3*10</s:f>
        <s:v>10</s:v>
      </s:c>
      <s:c r="I2" s="48">
        <s:f>H2*7.5%</s:f>
        <s:v>0.75</s:v>
      </s:c>
    </s:row>
    <s:row r="3" ht="24" customHeight="1">
      <s:c r="A3" s="39" t="inlineStr">
        <s:is>
          <s:t>201</s:t>
        </s:is>
      </s:c>
      <s:c r="B3" s="40" t="n"/>
      <s:c r="C3" s="41" t="n">
        <s:v>1</s:v>
      </s:c>
      <s:c r="D3" s="41" t="n">
        <s:v>1</s:v>
      </s:c>
      <s:c r="E3" s="41" t="n">
        <s:v>0</s:v>
      </s:c>
      <s:c r="F3" s="42" t="n">
        <s:v>2</s:v>
      </s:c>
      <s:c r="G3" s="41" t="inlineStr">
        <s:is>
          <s:t>QYU7</s:t>
        </s:is>
      </s:c>
      <s:c r="H3" s="49">
        <s:f>F3/3*10</s:f>
        <s:v>6.66666666666667</s:v>
      </s:c>
      <s:c r="I3" s="49">
        <s:f>H3*7.5%</s:f>
        <s:v>0.5</s:v>
      </s:c>
    </s:row>
    <s:row r="4" ht="24" customHeight="1">
      <s:c r="A4" s="34" t="inlineStr">
        <s:is>
          <s:t>202</s:t>
        </s:is>
      </s:c>
      <s:c r="B4" s="35" t="n"/>
      <s:c r="C4" s="36" t="n">
        <s:v>1</s:v>
      </s:c>
      <s:c r="D4" s="36" t="n">
        <s:v>1</s:v>
      </s:c>
      <s:c r="E4" s="36" t="n">
        <s:v>0</s:v>
      </s:c>
      <s:c r="F4" s="37" t="n">
        <s:v>2</s:v>
      </s:c>
      <s:c r="G4" s="36" t="inlineStr">
        <s:is>
          <s:t>QNLW</s:t>
        </s:is>
      </s:c>
      <s:c r="H4" s="48">
        <s:f>F4/3*10</s:f>
        <s:v>6.66666666666667</s:v>
      </s:c>
      <s:c r="I4" s="48">
        <s:f>H4*7.5%</s:f>
        <s:v>0.5</s:v>
      </s:c>
    </s:row>
    <s:row r="5" ht="24" customHeight="1">
      <s:c r="A5" s="39" t="inlineStr">
        <s:is>
          <s:t>203</s:t>
        </s:is>
      </s:c>
      <s:c r="B5" s="40" t="n"/>
      <s:c r="C5" s="41" t="n">
        <s:v>1</s:v>
      </s:c>
      <s:c r="D5" s="41" t="n">
        <s:v>1</s:v>
      </s:c>
      <s:c r="E5" s="41" t="n">
        <s:v>1</s:v>
      </s:c>
      <s:c r="F5" s="42" t="n">
        <s:v>3</s:v>
      </s:c>
      <s:c r="G5" s="41" t="inlineStr">
        <s:is>
          <s:t>QYU7</s:t>
        </s:is>
      </s:c>
      <s:c r="H5" s="49">
        <s:f>F5/3*10</s:f>
        <s:v>10</s:v>
      </s:c>
      <s:c r="I5" s="49">
        <s:f>H5*7.5%</s:f>
        <s:v>0.75</s:v>
      </s:c>
    </s:row>
    <s:row r="6" ht="24" customHeight="1">
      <s:c r="A6" s="34" t="inlineStr">
        <s:is>
          <s:t>204</s:t>
        </s:is>
      </s:c>
      <s:c r="B6" s="35" t="n"/>
      <s:c r="C6" s="36" t="n">
        <s:v>1</s:v>
      </s:c>
      <s:c r="D6" s="36" t="n">
        <s:v>1</s:v>
      </s:c>
      <s:c r="E6" s="36" t="n">
        <s:v>1</s:v>
      </s:c>
      <s:c r="F6" s="37" t="n">
        <s:v>3</s:v>
      </s:c>
      <s:c r="G6" s="36" t="inlineStr">
        <s:is>
          <s:t>QNLW</s:t>
        </s:is>
      </s:c>
      <s:c r="H6" s="48">
        <s:f>F6/3*10</s:f>
        <s:v>10</s:v>
      </s:c>
      <s:c r="I6" s="48">
        <s:f>H6*7.5%</s:f>
        <s:v>0.75</s:v>
      </s:c>
    </s:row>
    <s:row r="7" ht="24" customHeight="1">
      <s:c r="A7" s="39" t="inlineStr">
        <s:is>
          <s:t>206</s:t>
        </s:is>
      </s:c>
      <s:c r="B7" s="40" t="n"/>
      <s:c r="C7" s="41" t="n">
        <s:v>0</s:v>
      </s:c>
      <s:c r="D7" s="41" t="n">
        <s:v>1</s:v>
      </s:c>
      <s:c r="E7" s="41" t="n">
        <s:v>1</s:v>
      </s:c>
      <s:c r="F7" s="42" t="n">
        <s:v>2</s:v>
      </s:c>
      <s:c r="G7" s="41" t="inlineStr">
        <s:is>
          <s:t>QJ2H</s:t>
        </s:is>
      </s:c>
      <s:c r="H7" s="49">
        <s:f>F7/3*10</s:f>
        <s:v>6.66666666666667</s:v>
      </s:c>
      <s:c r="I7" s="49">
        <s:f>H7*7.5%</s:f>
        <s:v>0.5</s:v>
      </s:c>
    </s:row>
    <s:row r="8" ht="24" customHeight="1">
      <s:c r="A8" s="34" t="inlineStr">
        <s:is>
          <s:t>207</s:t>
        </s:is>
      </s:c>
      <s:c r="B8" s="35" t="n"/>
      <s:c r="C8" s="36" t="n">
        <s:v>1</s:v>
      </s:c>
      <s:c r="D8" s="36" t="n">
        <s:v>1</s:v>
      </s:c>
      <s:c r="E8" s="36" t="n">
        <s:v>1</s:v>
      </s:c>
      <s:c r="F8" s="37" t="n">
        <s:v>3</s:v>
      </s:c>
      <s:c r="G8" s="36" t="inlineStr">
        <s:is>
          <s:t>QJ2H</s:t>
        </s:is>
      </s:c>
      <s:c r="H8" s="48">
        <s:f>F8/3*10</s:f>
        <s:v>10</s:v>
      </s:c>
      <s:c r="I8" s="48">
        <s:f>H8*7.5%</s:f>
        <s:v>0.75</s:v>
      </s:c>
    </s:row>
    <s:row r="9" ht="24" customHeight="1">
      <s:c r="A9" s="39" t="inlineStr">
        <s:is>
          <s:t>208</s:t>
        </s:is>
      </s:c>
      <s:c r="B9" s="40" t="n"/>
      <s:c r="C9" s="41" t="n">
        <s:v>0</s:v>
      </s:c>
      <s:c r="D9" s="41" t="n">
        <s:v>0</s:v>
      </s:c>
      <s:c r="E9" s="41" t="n">
        <s:v>0</s:v>
      </s:c>
      <s:c r="F9" s="42" t="n">
        <s:v>0</s:v>
      </s:c>
      <s:c r="G9" s="41" t="inlineStr">
        <s:is>
          <s:t>Q2UP</s:t>
        </s:is>
      </s:c>
      <s:c r="H9" s="49">
        <s:f>F9/3*10</s:f>
        <s:v>0</s:v>
      </s:c>
      <s:c r="I9" s="49">
        <s:f>H9*7.5%</s:f>
        <s:v>0</s:v>
      </s:c>
    </s:row>
    <s:row r="10" ht="24" customHeight="1">
      <s:c r="A10" s="34" t="inlineStr">
        <s:is>
          <s:t>209</s:t>
        </s:is>
      </s:c>
      <s:c r="B10" s="35" t="n"/>
      <s:c r="C10" s="36" t="n">
        <s:v>0</s:v>
      </s:c>
      <s:c r="D10" s="36" t="n">
        <s:v>1</s:v>
      </s:c>
      <s:c r="E10" s="36" t="n">
        <s:v>0</s:v>
      </s:c>
      <s:c r="F10" s="37" t="n">
        <s:v>1</s:v>
      </s:c>
      <s:c r="G10" s="36" t="inlineStr">
        <s:is>
          <s:t>Q2UP</s:t>
        </s:is>
      </s:c>
      <s:c r="H10" s="48">
        <s:f>F10/3*10</s:f>
        <s:v>3.33333333333333</s:v>
      </s:c>
      <s:c r="I10" s="48">
        <s:f>H10*7.5%</s:f>
        <s:v>0.25</s:v>
      </s:c>
    </s:row>
    <s:row r="11" ht="24" customHeight="1">
      <s:c r="A11" s="39" t="inlineStr">
        <s:is>
          <s:t>210</s:t>
        </s:is>
      </s:c>
      <s:c r="B11" s="40" t="n"/>
      <s:c r="C11" s="41" t="n">
        <s:v>1</s:v>
      </s:c>
      <s:c r="D11" s="41" t="n">
        <s:v>1</s:v>
      </s:c>
      <s:c r="E11" s="41" t="n">
        <s:v>1</s:v>
      </s:c>
      <s:c r="F11" s="42" t="n">
        <s:v>3</s:v>
      </s:c>
      <s:c r="G11" s="41" t="inlineStr">
        <s:is>
          <s:t>Q2UP</s:t>
        </s:is>
      </s:c>
      <s:c r="H11" s="49">
        <s:f>F11/3*10</s:f>
        <s:v>10</s:v>
      </s:c>
      <s:c r="I11" s="49">
        <s:f>H11*7.5%</s:f>
        <s:v>0.75</s:v>
      </s:c>
    </s:row>
    <s:row r="12" ht="24" customHeight="1">
      <s:c r="A12" s="34" t="inlineStr">
        <s:is>
          <s:t>211</s:t>
        </s:is>
      </s:c>
      <s:c r="B12" s="35" t="n"/>
      <s:c r="C12" s="36" t="n">
        <s:v>1</s:v>
      </s:c>
      <s:c r="D12" s="36" t="n">
        <s:v>1</s:v>
      </s:c>
      <s:c r="E12" s="36" t="n">
        <s:v>1</s:v>
      </s:c>
      <s:c r="F12" s="37" t="n">
        <s:v>3</s:v>
      </s:c>
      <s:c r="G12" s="36" t="inlineStr">
        <s:is>
          <s:t>QNLW</s:t>
        </s:is>
      </s:c>
      <s:c r="H12" s="48">
        <s:f>F12/3*10</s:f>
        <s:v>10</s:v>
      </s:c>
      <s:c r="I12" s="48">
        <s:f>H12*7.5%</s:f>
        <s:v>0.75</s:v>
      </s:c>
    </s:row>
    <s:row r="13" ht="24" customHeight="1">
      <s:c r="A13" s="39" t="inlineStr">
        <s:is>
          <s:t>212</s:t>
        </s:is>
      </s:c>
      <s:c r="B13" s="40" t="n"/>
      <s:c r="C13" s="41" t="n">
        <s:v>1</s:v>
      </s:c>
      <s:c r="D13" s="41" t="n">
        <s:v>1</s:v>
      </s:c>
      <s:c r="E13" s="41" t="n">
        <s:v>0</s:v>
      </s:c>
      <s:c r="F13" s="42" t="n">
        <s:v>2</s:v>
      </s:c>
      <s:c r="G13" s="41" t="inlineStr">
        <s:is>
          <s:t>QKMC</s:t>
        </s:is>
      </s:c>
      <s:c r="H13" s="49">
        <s:f>F13/3*10</s:f>
        <s:v>6.66666666666667</s:v>
      </s:c>
      <s:c r="I13" s="49">
        <s:f>H13*7.5%</s:f>
        <s:v>0.5</s:v>
      </s:c>
    </s:row>
    <s:row r="14" ht="24" customHeight="1">
      <s:c r="A14" s="34" t="inlineStr">
        <s:is>
          <s:t>213</s:t>
        </s:is>
      </s:c>
      <s:c r="B14" s="35" t="n"/>
      <s:c r="C14" s="36" t="n">
        <s:v>1</s:v>
      </s:c>
      <s:c r="D14" s="36" t="n">
        <s:v>0</s:v>
      </s:c>
      <s:c r="E14" s="36" t="n">
        <s:v>0</s:v>
      </s:c>
      <s:c r="F14" s="37" t="n">
        <s:v>1</s:v>
      </s:c>
      <s:c r="G14" s="36" t="inlineStr">
        <s:is>
          <s:t>Q2UP</s:t>
        </s:is>
      </s:c>
      <s:c r="H14" s="48">
        <s:f>F14/3*10</s:f>
        <s:v>3.33333333333333</s:v>
      </s:c>
      <s:c r="I14" s="48">
        <s:f>H14*7.5%</s:f>
        <s:v>0.25</s:v>
      </s:c>
    </s:row>
    <s:row r="15" ht="24" customHeight="1">
      <s:c r="A15" s="39" t="inlineStr">
        <s:is>
          <s:t>214</s:t>
        </s:is>
      </s:c>
      <s:c r="B15" s="40" t="n"/>
      <s:c r="C15" s="41" t="n">
        <s:v>1</s:v>
      </s:c>
      <s:c r="D15" s="41" t="n">
        <s:v>1</s:v>
      </s:c>
      <s:c r="E15" s="41" t="n">
        <s:v>1</s:v>
      </s:c>
      <s:c r="F15" s="42" t="n">
        <s:v>3</s:v>
      </s:c>
      <s:c r="G15" s="41" t="inlineStr">
        <s:is>
          <s:t>QKMC</s:t>
        </s:is>
      </s:c>
      <s:c r="H15" s="49">
        <s:f>F15/3*10</s:f>
        <s:v>10</s:v>
      </s:c>
      <s:c r="I15" s="49">
        <s:f>H15*7.5%</s:f>
        <s:v>0.75</s:v>
      </s:c>
    </s:row>
    <s:row r="16" ht="24" customHeight="1">
      <s:c r="A16" s="34" t="inlineStr">
        <s:is>
          <s:t>215</s:t>
        </s:is>
      </s:c>
      <s:c r="B16" s="35" t="n"/>
      <s:c r="C16" s="36" t="n">
        <s:v>1</s:v>
      </s:c>
      <s:c r="D16" s="36" t="n">
        <s:v>1</s:v>
      </s:c>
      <s:c r="E16" s="36" t="n">
        <s:v>1</s:v>
      </s:c>
      <s:c r="F16" s="37" t="n">
        <s:v>3</s:v>
      </s:c>
      <s:c r="G16" s="36" t="inlineStr">
        <s:is>
          <s:t>QKMC</s:t>
        </s:is>
      </s:c>
      <s:c r="H16" s="48">
        <s:f>F16/3*10</s:f>
        <s:v>10</s:v>
      </s:c>
      <s:c r="I16" s="48">
        <s:f>H16*7.5%</s:f>
        <s:v>0.75</s:v>
      </s:c>
    </s:row>
    <s:row r="17" ht="24" customHeight="1">
      <s:c r="A17" s="34" t="inlineStr">
        <s:is>
          <s:t>216</s:t>
        </s:is>
      </s:c>
      <s:c r="B17" s="35" t="n"/>
      <s:c r="C17" s="36" t="n">
        <s:v>1</s:v>
      </s:c>
      <s:c r="D17" s="36" t="n">
        <s:v>1</s:v>
      </s:c>
      <s:c r="E17" s="36" t="n">
        <s:v>0</s:v>
      </s:c>
      <s:c r="F17" s="37" t="n">
        <s:v>2</s:v>
      </s:c>
      <s:c r="G17" s="36" t="inlineStr">
        <s:is>
          <s:t>R2WD</s:t>
        </s:is>
      </s:c>
      <s:c r="H17" s="48">
        <s:f>F17/3*10</s:f>
        <s:v>6.66666666666667</s:v>
      </s:c>
      <s:c r="I17" s="48">
        <s:f>H17*7.5%</s:f>
        <s:v>0.5</s:v>
      </s:c>
    </s:row>
    <s:row r="18" ht="24" customHeight="1">
      <s:c r="A18" s="39" t="inlineStr">
        <s:is>
          <s:t>217</s:t>
        </s:is>
      </s:c>
      <s:c r="B18" s="40" t="n"/>
      <s:c r="C18" s="41" t="n">
        <s:v>1</s:v>
      </s:c>
      <s:c r="D18" s="41" t="n">
        <s:v>1</s:v>
      </s:c>
      <s:c r="E18" s="41" t="n">
        <s:v>1</s:v>
      </s:c>
      <s:c r="F18" s="42" t="n">
        <s:v>3</s:v>
      </s:c>
      <s:c r="G18" s="41" t="inlineStr">
        <s:is>
          <s:t>QNLW</s:t>
        </s:is>
      </s:c>
      <s:c r="H18" s="49">
        <s:f>F18/3*10</s:f>
        <s:v>10</s:v>
      </s:c>
      <s:c r="I18" s="49">
        <s:f>H18*7.5%</s:f>
        <s:v>0.75</s:v>
      </s:c>
    </s:row>
    <s:row r="19" ht="24" customHeight="1">
      <s:c r="A19" s="34" t="inlineStr">
        <s:is>
          <s:t>219</s:t>
        </s:is>
      </s:c>
      <s:c r="B19" s="35" t="n"/>
      <s:c r="C19" s="36" t="n">
        <s:v>1</s:v>
      </s:c>
      <s:c r="D19" s="36" t="n">
        <s:v>1</s:v>
      </s:c>
      <s:c r="E19" s="36" t="n">
        <s:v>0</s:v>
      </s:c>
      <s:c r="F19" s="37" t="n">
        <s:v>2</s:v>
      </s:c>
      <s:c r="G19" s="36" t="inlineStr">
        <s:is>
          <s:t>QJ2H</s:t>
        </s:is>
      </s:c>
      <s:c r="H19" s="48">
        <s:f>F19/3*10</s:f>
        <s:v>6.66666666666667</s:v>
      </s:c>
      <s:c r="I19" s="48">
        <s:f>H19*7.5%</s:f>
        <s:v>0.5</s:v>
      </s:c>
    </s:row>
    <s:row r="20" ht="24" customHeight="1">
      <s:c r="A20" s="39" t="inlineStr">
        <s:is>
          <s:t>221</s:t>
        </s:is>
      </s:c>
      <s:c r="B20" s="40" t="n"/>
      <s:c r="C20" s="41" t="n">
        <s:v>1</s:v>
      </s:c>
      <s:c r="D20" s="41" t="n">
        <s:v>1</s:v>
      </s:c>
      <s:c r="E20" s="41" t="n">
        <s:v>1</s:v>
      </s:c>
      <s:c r="F20" s="42" t="n">
        <s:v>3</s:v>
      </s:c>
      <s:c r="G20" s="41" t="inlineStr">
        <s:is>
          <s:t>QYU7</s:t>
        </s:is>
      </s:c>
      <s:c r="H20" s="49">
        <s:f>F20/3*10</s:f>
        <s:v>10</s:v>
      </s:c>
      <s:c r="I20" s="49">
        <s:f>H20*7.5%</s:f>
        <s:v>0.75</s:v>
      </s:c>
    </s:row>
    <s:row r="21" ht="24" customHeight="1">
      <s:c r="A21" s="34" t="inlineStr">
        <s:is>
          <s:t>223</s:t>
        </s:is>
      </s:c>
      <s:c r="B21" s="35" t="n"/>
      <s:c r="C21" s="36" t="n">
        <s:v>1</s:v>
      </s:c>
      <s:c r="D21" s="36" t="n">
        <s:v>1</s:v>
      </s:c>
      <s:c r="E21" s="36" t="n">
        <s:v>1</s:v>
      </s:c>
      <s:c r="F21" s="37" t="n">
        <s:v>3</s:v>
      </s:c>
      <s:c r="G21" s="36" t="inlineStr">
        <s:is>
          <s:t>QYU7</s:t>
        </s:is>
      </s:c>
      <s:c r="H21" s="48">
        <s:f>F21/3*10</s:f>
        <s:v>10</s:v>
      </s:c>
      <s:c r="I21" s="48">
        <s:f>H21*7.5%</s:f>
        <s:v>0.75</s:v>
      </s:c>
    </s:row>
    <s:row r="22" ht="24" customHeight="1">
      <s:c r="A22" s="39" t="inlineStr">
        <s:is>
          <s:t>224</s:t>
        </s:is>
      </s:c>
      <s:c r="B22" s="40" t="n"/>
      <s:c r="C22" s="41" t="n">
        <s:v>0</s:v>
      </s:c>
      <s:c r="D22" s="41" t="n">
        <s:v>1</s:v>
      </s:c>
      <s:c r="E22" s="41" t="n">
        <s:v>0</s:v>
      </s:c>
      <s:c r="F22" s="42" t="n">
        <s:v>1</s:v>
      </s:c>
      <s:c r="G22" s="41" t="inlineStr">
        <s:is>
          <s:t>QNLW</s:t>
        </s:is>
      </s:c>
      <s:c r="H22" s="49">
        <s:f>F22/3*10</s:f>
        <s:v>3.33333333333333</s:v>
      </s:c>
      <s:c r="I22" s="49">
        <s:f>H22*7.5%</s:f>
        <s:v>0.25</s:v>
      </s:c>
    </s:row>
    <s:row r="23" ht="24" customHeight="1">
      <s:c r="A23" s="34" t="inlineStr">
        <s:is>
          <s:t>225</s:t>
        </s:is>
      </s:c>
      <s:c r="B23" s="35" t="n"/>
      <s:c r="C23" s="36" t="n">
        <s:v>0</s:v>
      </s:c>
      <s:c r="D23" s="36" t="n">
        <s:v>1</s:v>
      </s:c>
      <s:c r="E23" s="36" t="n">
        <s:v>1</s:v>
      </s:c>
      <s:c r="F23" s="37" t="n">
        <s:v>2</s:v>
      </s:c>
      <s:c r="G23" s="36" t="inlineStr">
        <s:is>
          <s:t>QKMC</s:t>
        </s:is>
      </s:c>
      <s:c r="H23" s="48">
        <s:f>F23/3*10</s:f>
        <s:v>6.66666666666667</s:v>
      </s:c>
      <s:c r="I23" s="48">
        <s:f>H23*7.5%</s:f>
        <s:v>0.5</s:v>
      </s:c>
    </s:row>
    <s:row r="24" ht="24" customHeight="1">
      <s:c r="A24" s="39" t="inlineStr">
        <s:is>
          <s:t>226</s:t>
        </s:is>
      </s:c>
      <s:c r="B24" s="40" t="n"/>
      <s:c r="C24" s="41" t="n">
        <s:v>1</s:v>
      </s:c>
      <s:c r="D24" s="41" t="n">
        <s:v>1</s:v>
      </s:c>
      <s:c r="E24" s="41" t="n">
        <s:v>0</s:v>
      </s:c>
      <s:c r="F24" s="42" t="n">
        <s:v>2</s:v>
      </s:c>
      <s:c r="G24" s="41" t="inlineStr">
        <s:is>
          <s:t>QKMC</s:t>
        </s:is>
      </s:c>
      <s:c r="H24" s="49">
        <s:f>F24/3*10</s:f>
        <s:v>6.66666666666667</s:v>
      </s:c>
      <s:c r="I24" s="49">
        <s:f>H24*7.5%</s:f>
        <s:v>0.5</s:v>
      </s:c>
    </s:row>
    <s:row r="25" ht="24" customHeight="1">
      <s:c r="A25" s="34" t="inlineStr">
        <s:is>
          <s:t>227</s:t>
        </s:is>
      </s:c>
      <s:c r="B25" s="35" t="n"/>
      <s:c r="C25" s="36" t="n">
        <s:v>1</s:v>
      </s:c>
      <s:c r="D25" s="36" t="n">
        <s:v>1</s:v>
      </s:c>
      <s:c r="E25" s="36" t="n">
        <s:v>1</s:v>
      </s:c>
      <s:c r="F25" s="37" t="n">
        <s:v>3</s:v>
      </s:c>
      <s:c r="G25" s="36" t="inlineStr">
        <s:is>
          <s:t>R7KV</s:t>
        </s:is>
      </s:c>
      <s:c r="H25" s="48">
        <s:f>F25/3*10</s:f>
        <s:v>10</s:v>
      </s:c>
      <s:c r="I25" s="48">
        <s:f>H25*7.5%</s:f>
        <s:v>0.75</s:v>
      </s:c>
    </s:row>
    <s:row r="26" ht="24" customHeight="1">
      <s:c r="A26" s="39" t="inlineStr">
        <s:is>
          <s:t>228</s:t>
        </s:is>
      </s:c>
      <s:c r="B26" s="40" t="n"/>
      <s:c r="C26" s="41" t="n">
        <s:v>1</s:v>
      </s:c>
      <s:c r="D26" s="41" t="n">
        <s:v>0</s:v>
      </s:c>
      <s:c r="E26" s="41" t="n">
        <s:v>0</s:v>
      </s:c>
      <s:c r="F26" s="42" t="n">
        <s:v>1</s:v>
      </s:c>
      <s:c r="G26" s="41" t="inlineStr">
        <s:is>
          <s:t>Q2UP</s:t>
        </s:is>
      </s:c>
      <s:c r="H26" s="49">
        <s:f>F26/3*10</s:f>
        <s:v>3.33333333333333</s:v>
      </s:c>
      <s:c r="I26" s="49">
        <s:f>H26*7.5%</s:f>
        <s:v>0.25</s:v>
      </s:c>
    </s:row>
    <s:row r="27" ht="24" customHeight="1">
      <s:c r="A27" s="34" t="inlineStr">
        <s:is>
          <s:t>229</s:t>
        </s:is>
      </s:c>
      <s:c r="B27" s="35" t="n"/>
      <s:c r="C27" s="36" t="n">
        <s:v>1</s:v>
      </s:c>
      <s:c r="D27" s="36" t="n">
        <s:v>1</s:v>
      </s:c>
      <s:c r="E27" s="36" t="n">
        <s:v>1</s:v>
      </s:c>
      <s:c r="F27" s="37" t="n">
        <s:v>3</s:v>
      </s:c>
      <s:c r="G27" s="36" t="inlineStr">
        <s:is>
          <s:t>R8HF</s:t>
        </s:is>
      </s:c>
      <s:c r="H27" s="48">
        <s:f>F27/3*10</s:f>
        <s:v>10</s:v>
      </s:c>
      <s:c r="I27" s="48">
        <s:f>H27*7.5%</s:f>
        <s:v>0.75</s:v>
      </s:c>
    </s:row>
    <s:row r="28" ht="24" customHeight="1">
      <s:c r="A28" s="34" t="inlineStr">
        <s:is>
          <s:t>230</s:t>
        </s:is>
      </s:c>
      <s:c r="B28" s="35" t="n"/>
      <s:c r="C28" s="36" t="n">
        <s:v>1</s:v>
      </s:c>
      <s:c r="D28" s="36" t="n">
        <s:v>1</s:v>
      </s:c>
      <s:c r="E28" s="36" t="n">
        <s:v>1</s:v>
      </s:c>
      <s:c r="F28" s="37" t="n">
        <s:v>3</s:v>
      </s:c>
      <s:c r="G28" s="36" t="inlineStr">
        <s:is>
          <s:t>QJ2H</s:t>
        </s:is>
      </s:c>
      <s:c r="H28" s="48">
        <s:f>F28/3*10</s:f>
        <s:v>10</s:v>
      </s:c>
      <s:c r="I28" s="48">
        <s:f>H28*7.5%</s:f>
        <s:v>0.75</s:v>
      </s:c>
    </s:row>
    <s:row r="29" ht="24" customHeight="1">
      <s:c r="A29" s="39" t="inlineStr">
        <s:is>
          <s:t>232</s:t>
        </s:is>
      </s:c>
      <s:c r="B29" s="40" t="n"/>
      <s:c r="C29" s="41" t="n">
        <s:v>1</s:v>
      </s:c>
      <s:c r="D29" s="41" t="n">
        <s:v>1</s:v>
      </s:c>
      <s:c r="E29" s="41" t="n">
        <s:v>0</s:v>
      </s:c>
      <s:c r="F29" s="42" t="n">
        <s:v>2</s:v>
      </s:c>
      <s:c r="G29" s="41" t="inlineStr">
        <s:is>
          <s:t>QJ2H</s:t>
        </s:is>
      </s:c>
      <s:c r="H29" s="49">
        <s:f>F29/3*10</s:f>
        <s:v>6.66666666666667</s:v>
      </s:c>
      <s:c r="I29" s="49">
        <s:f>H29*7.5%</s:f>
        <s:v>0.5</s:v>
      </s:c>
    </s:row>
    <s:row r="30" ht="24" customHeight="1">
      <s:c r="A30" s="34" t="inlineStr">
        <s:is>
          <s:t>233</s:t>
        </s:is>
      </s:c>
      <s:c r="B30" s="35" t="n"/>
      <s:c r="C30" s="36" t="n">
        <s:v>1</s:v>
      </s:c>
      <s:c r="D30" s="36" t="n">
        <s:v>0</s:v>
      </s:c>
      <s:c r="E30" s="36" t="n">
        <s:v>1</s:v>
      </s:c>
      <s:c r="F30" s="37" t="n">
        <s:v>2</s:v>
      </s:c>
      <s:c r="G30" s="36" t="inlineStr">
        <s:is>
          <s:t>QJ2H</s:t>
        </s:is>
      </s:c>
      <s:c r="H30" s="48">
        <s:f>F30/3*10</s:f>
        <s:v>6.66666666666667</s:v>
      </s:c>
      <s:c r="I30" s="48">
        <s:f>H30*7.5%</s:f>
        <s:v>0.5</s:v>
      </s:c>
    </s:row>
    <s:row r="31" ht="24" customHeight="1">
      <s:c r="A31" s="39" t="inlineStr">
        <s:is>
          <s:t>235</s:t>
        </s:is>
      </s:c>
      <s:c r="B31" s="40" t="n"/>
      <s:c r="C31" s="41" t="n">
        <s:v>1</s:v>
      </s:c>
      <s:c r="D31" s="41" t="n">
        <s:v>0</s:v>
      </s:c>
      <s:c r="E31" s="41" t="n">
        <s:v>1</s:v>
      </s:c>
      <s:c r="F31" s="42" t="n">
        <s:v>2</s:v>
      </s:c>
      <s:c r="G31" s="41" t="inlineStr">
        <s:is>
          <s:t>QYU7</s:t>
        </s:is>
      </s:c>
      <s:c r="H31" s="49">
        <s:f>F31/3*10</s:f>
        <s:v>6.66666666666667</s:v>
      </s:c>
      <s:c r="I31" s="49">
        <s:f>H31*7.5%</s:f>
        <s:v>0.5</s:v>
      </s:c>
    </s:row>
    <s:row r="32" ht="24" customHeight="1">
      <s:c r="A32" s="34" t="inlineStr">
        <s:is>
          <s:t>236</s:t>
        </s:is>
      </s:c>
      <s:c r="B32" s="35" t="n"/>
      <s:c r="C32" s="36" t="n">
        <s:v>1</s:v>
      </s:c>
      <s:c r="D32" s="36" t="n">
        <s:v>1</s:v>
      </s:c>
      <s:c r="E32" s="36" t="n">
        <s:v>0</s:v>
      </s:c>
      <s:c r="F32" s="37" t="n">
        <s:v>2</s:v>
      </s:c>
      <s:c r="G32" s="36" t="inlineStr">
        <s:is>
          <s:t>QNLW</s:t>
        </s:is>
      </s:c>
      <s:c r="H32" s="48">
        <s:f>F32/3*10</s:f>
        <s:v>6.66666666666667</s:v>
      </s:c>
      <s:c r="I32" s="48">
        <s:f>H32*7.5%</s:f>
        <s:v>0.5</s:v>
      </s:c>
    </s:row>
    <s:row r="33" ht="24" customHeight="1">
      <s:c r="A33" s="39" t="inlineStr">
        <s:is>
          <s:t>238</s:t>
        </s:is>
      </s:c>
      <s:c r="B33" s="40" t="n"/>
      <s:c r="C33" s="41" t="n">
        <s:v>1</s:v>
      </s:c>
      <s:c r="D33" s="41" t="n">
        <s:v>1</s:v>
      </s:c>
      <s:c r="E33" s="41" t="n">
        <s:v>1</s:v>
      </s:c>
      <s:c r="F33" s="42" t="n">
        <s:v>3</s:v>
      </s:c>
      <s:c r="G33" s="41" t="inlineStr">
        <s:is>
          <s:t>Q2UP</s:t>
        </s:is>
      </s:c>
      <s:c r="H33" s="49">
        <s:f>F33/3*10</s:f>
        <s:v>10</s:v>
      </s:c>
      <s:c r="I33" s="49">
        <s:f>H33*7.5%</s:f>
        <s:v>0.75</s:v>
      </s:c>
    </s:row>
    <s:row r="34" ht="24" customHeight="1">
      <s:c r="A34" s="34" t="inlineStr">
        <s:is>
          <s:t>239</s:t>
        </s:is>
      </s:c>
      <s:c r="B34" s="35" t="n"/>
      <s:c r="C34" s="36" t="n">
        <s:v>1</s:v>
      </s:c>
      <s:c r="D34" s="36" t="n">
        <s:v>0</s:v>
      </s:c>
      <s:c r="E34" s="36" t="n">
        <s:v>0</s:v>
      </s:c>
      <s:c r="F34" s="37" t="n">
        <s:v>1</s:v>
      </s:c>
      <s:c r="G34" s="36" t="inlineStr">
        <s:is>
          <s:t>QJ2H</s:t>
        </s:is>
      </s:c>
      <s:c r="H34" s="48">
        <s:f>F34/3*10</s:f>
        <s:v>3.33333333333333</s:v>
      </s:c>
      <s:c r="I34" s="48">
        <s:f>H34*7.5%</s:f>
        <s:v>0.25</s:v>
      </s:c>
    </s:row>
    <s:row r="35" ht="24" customHeight="1">
      <s:c r="A35" s="39" t="inlineStr">
        <s:is>
          <s:t>240</s:t>
        </s:is>
      </s:c>
      <s:c r="B35" s="40" t="n"/>
      <s:c r="C35" s="41" t="n">
        <s:v>0</s:v>
      </s:c>
      <s:c r="D35" s="41" t="n">
        <s:v>1</s:v>
      </s:c>
      <s:c r="E35" s="41" t="n">
        <s:v>0</s:v>
      </s:c>
      <s:c r="F35" s="42" t="n">
        <s:v>1</s:v>
      </s:c>
      <s:c r="G35" s="41" t="inlineStr">
        <s:is>
          <s:t>QNLW</s:t>
        </s:is>
      </s:c>
      <s:c r="H35" s="49">
        <s:f>F35/3*10</s:f>
        <s:v>3.33333333333333</s:v>
      </s:c>
      <s:c r="I35" s="49">
        <s:f>H35*7.5%</s:f>
        <s:v>0.25</s:v>
      </s:c>
    </s:row>
    <s:row r="38" ht="30" customHeight="1">
      <s:c r="A38" s="50" t="inlineStr">
        <s:is>
          <s:t>Quiz 3: maximum 3 raw points. Grade / 10 = raw points ÷ 3 × 10. This quiz contributes 7.5% of the course grade, at most 0.75 course points.</s:t>
        </s:is>
      </s:c>
    </s:row>
    <s:row r="39" ht="30" customHeight="1">
      <s:c r="A39" s="51" t="inlineStr">
        <s:is>
          <s:t>For the same quiz and student ID, the highest score across original and makeup attempts is retained.</s:t>
        </s:is>
      </s:c>
    </s:row>
  </s:sheetData>
  <s:autoFilter ref="A1:I35"/>
  <s:mergeCells count="2">
    <s:mergeCell ref="A38:I38"/>
    <s:mergeCell ref="A39:I39"/>
  </s:mergeCells>
  <s:dataValidations count="1">
    <s:dataValidation sqref="C2:E35" showDropDown="0" showInputMessage="0" showErrorMessage="1" allowBlank="0" errorTitle="Invalid question score" error="Each question earns either 0 or 1 point." type="whole" operator="between">
      <s:formula1>0</s:formula1>
      <s:formula2>1</s:formula2>
    </s:dataValidation>
  </s:dataValidations>
  <s:pageMargins left="0.75" right="0.75" top="1" bottom="1" header="0.5" footer="0.5"/>
  <s:pageSetup orientation="landscape" paperSize="9" fitToHeight="0" fitToWidth="1"/>
  <s:headerFooter>
    <s:oddHeader/>
    <s:oddFooter>&amp;CQuiz 3&amp;RPage &amp;P of &amp;N</s:oddFooter>
    <s:evenHeader/>
    <s:evenFooter/>
    <s:firstHeader/>
    <s:firstFooter/>
  </s:headerFooter>
  <s:legacyDrawing r:id="anysvml"/>
</s:worksheet>
</file>

<file path=xl/worksheets/sheet4.xml><?xml version="1.0" encoding="utf-8"?>
<s:worksheet xmlns:r="http://schemas.openxmlformats.org/officeDocument/2006/relationships" xmlns:s="http://schemas.openxmlformats.org/spreadsheetml/2006/main">
  <s:sheetPr>
    <s:tabColor rgb="00E85D4A"/>
    <s:outlinePr summaryBelow="1" summaryRight="1"/>
    <s:pageSetUpPr fitToPage="1"/>
  </s:sheetPr>
  <s:dimension ref="A1:I41"/>
  <s:sheetViews>
    <s:sheetView workbookViewId="0">
      <s:pane xSplit="2" ySplit="1" topLeftCell="C2" activePane="bottomRight" state="frozen"/>
      <s:selection pane="top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13" customWidth="1" min="1" max="1"/>
    <s:col width="33" customWidth="1" min="2" max="2"/>
    <s:col width="13" customWidth="1" min="3" max="3"/>
    <s:col width="13" customWidth="1" min="4" max="4"/>
    <s:col width="13" customWidth="1" min="5" max="5"/>
    <s:col width="12" customWidth="1" min="6" max="6"/>
    <s:col width="10" customWidth="1" min="7" max="7"/>
    <s:col width="16" customWidth="1" min="8" max="8"/>
    <s:col width="24" customWidth="1" min="9" max="9"/>
  </s:cols>
  <s:sheetData>
    <s:row r="1" ht="30" customHeight="1">
      <s:c r="A1" s="32" t="inlineStr">
        <s:is>
          <s:t>Student ID</s:t>
        </s:is>
      </s:c>
      <s:c r="B1" s="33" t="inlineStr">
        <s:is>
          <s:t>Name (if no ID)</s:t>
        </s:is>
      </s:c>
      <s:c r="C1" s="32" t="inlineStr">
        <s:is>
          <s:t>Question 1</s:t>
        </s:is>
      </s:c>
      <s:c r="D1" s="32" t="inlineStr">
        <s:is>
          <s:t>Question 2</s:t>
        </s:is>
      </s:c>
      <s:c r="E1" s="32" t="inlineStr">
        <s:is>
          <s:t>Question 3</s:t>
        </s:is>
      </s:c>
      <s:c r="F1" s="32" t="inlineStr">
        <s:is>
          <s:t>Total / 3</s:t>
        </s:is>
      </s:c>
      <s:c r="G1" s="32" t="inlineStr">
        <s:is>
          <s:t>Form</s:t>
        </s:is>
      </s:c>
      <s:c r="H1" s="32" t="inlineStr">
        <s:is>
          <s:t>Grade / 10</s:t>
        </s:is>
      </s:c>
      <s:c r="I1" s="32" t="inlineStr">
        <s:is>
          <s:t>Course points / 0.75</s:t>
        </s:is>
      </s:c>
    </s:row>
    <s:row r="2" ht="24" customHeight="1">
      <s:c r="A2" s="34" t="inlineStr">
        <s:is>
          <s:t>200</s:t>
        </s:is>
      </s:c>
      <s:c r="B2" s="35" t="n"/>
      <s:c r="C2" s="36" t="n">
        <s:v>1</s:v>
      </s:c>
      <s:c r="D2" s="36" t="n">
        <s:v>0</s:v>
      </s:c>
      <s:c r="E2" s="36" t="n">
        <s:v>1</s:v>
      </s:c>
      <s:c r="F2" s="37" t="n">
        <s:v>2</s:v>
      </s:c>
      <s:c r="G2" s="36" t="inlineStr">
        <s:is>
          <s:t>4S6B</s:t>
        </s:is>
      </s:c>
      <s:c r="H2" s="48">
        <s:f>F2/3*10</s:f>
        <s:v>6.66666666666667</s:v>
      </s:c>
      <s:c r="I2" s="48">
        <s:f>H2*7.5%</s:f>
        <s:v>0.5</s:v>
      </s:c>
    </s:row>
    <s:row r="3" ht="24" customHeight="1">
      <s:c r="A3" s="39" t="inlineStr">
        <s:is>
          <s:t>201</s:t>
        </s:is>
      </s:c>
      <s:c r="B3" s="40" t="n"/>
      <s:c r="C3" s="41" t="n">
        <s:v>1</s:v>
      </s:c>
      <s:c r="D3" s="41" t="n">
        <s:v>0</s:v>
      </s:c>
      <s:c r="E3" s="41" t="n">
        <s:v>1</s:v>
      </s:c>
      <s:c r="F3" s="42" t="n">
        <s:v>2</s:v>
      </s:c>
      <s:c r="G3" s="41" t="inlineStr">
        <s:is>
          <s:t>4GLW</s:t>
        </s:is>
      </s:c>
      <s:c r="H3" s="49">
        <s:f>F3/3*10</s:f>
        <s:v>6.66666666666667</s:v>
      </s:c>
      <s:c r="I3" s="49">
        <s:f>H3*7.5%</s:f>
        <s:v>0.5</s:v>
      </s:c>
    </s:row>
    <s:row r="4" ht="24" customHeight="1">
      <s:c r="A4" s="34" t="inlineStr">
        <s:is>
          <s:t>202</s:t>
        </s:is>
      </s:c>
      <s:c r="B4" s="35" t="n"/>
      <s:c r="C4" s="36" t="n">
        <s:v>0</s:v>
      </s:c>
      <s:c r="D4" s="36" t="n">
        <s:v>1</s:v>
      </s:c>
      <s:c r="E4" s="36" t="n">
        <s:v>1</s:v>
      </s:c>
      <s:c r="F4" s="37" t="n">
        <s:v>2</s:v>
      </s:c>
      <s:c r="G4" s="36" t="inlineStr">
        <s:is>
          <s:t>V6JP</s:t>
        </s:is>
      </s:c>
      <s:c r="H4" s="48">
        <s:f>F4/3*10</s:f>
        <s:v>6.66666666666667</s:v>
      </s:c>
      <s:c r="I4" s="48">
        <s:f>H4*7.5%</s:f>
        <s:v>0.5</s:v>
      </s:c>
    </s:row>
    <s:row r="5" ht="24" customHeight="1">
      <s:c r="A5" s="34" t="inlineStr">
        <s:is>
          <s:t>203</s:t>
        </s:is>
      </s:c>
      <s:c r="B5" s="35" t="n"/>
      <s:c r="C5" s="36" t="n">
        <s:v>1</s:v>
      </s:c>
      <s:c r="D5" s="36" t="n">
        <s:v>1</s:v>
      </s:c>
      <s:c r="E5" s="36" t="n">
        <s:v>1</s:v>
      </s:c>
      <s:c r="F5" s="37" t="n">
        <s:v>3</s:v>
      </s:c>
      <s:c r="G5" s="36" t="inlineStr">
        <s:is>
          <s:t>4GLW</s:t>
        </s:is>
      </s:c>
      <s:c r="H5" s="48">
        <s:f>F5/3*10</s:f>
        <s:v>10</s:v>
      </s:c>
      <s:c r="I5" s="48">
        <s:f>H5*7.5%</s:f>
        <s:v>0.75</s:v>
      </s:c>
    </s:row>
    <s:row r="6" ht="24" customHeight="1">
      <s:c r="A6" s="39" t="inlineStr">
        <s:is>
          <s:t>204</s:t>
        </s:is>
      </s:c>
      <s:c r="B6" s="40" t="n"/>
      <s:c r="C6" s="41" t="n">
        <s:v>1</s:v>
      </s:c>
      <s:c r="D6" s="41" t="n">
        <s:v>0</s:v>
      </s:c>
      <s:c r="E6" s="41" t="n">
        <s:v>1</s:v>
      </s:c>
      <s:c r="F6" s="42" t="n">
        <s:v>2</s:v>
      </s:c>
      <s:c r="G6" s="41" t="inlineStr">
        <s:is>
          <s:t>4HPW</s:t>
        </s:is>
      </s:c>
      <s:c r="H6" s="49">
        <s:f>F6/3*10</s:f>
        <s:v>6.66666666666667</s:v>
      </s:c>
      <s:c r="I6" s="49">
        <s:f>H6*7.5%</s:f>
        <s:v>0.5</s:v>
      </s:c>
    </s:row>
    <s:row r="7" ht="24" customHeight="1">
      <s:c r="A7" s="34" t="inlineStr">
        <s:is>
          <s:t>205</s:t>
        </s:is>
      </s:c>
      <s:c r="B7" s="35" t="n"/>
      <s:c r="C7" s="36" t="n">
        <s:v>1</s:v>
      </s:c>
      <s:c r="D7" s="36" t="n">
        <s:v>0</s:v>
      </s:c>
      <s:c r="E7" s="36" t="n">
        <s:v>1</s:v>
      </s:c>
      <s:c r="F7" s="37" t="n">
        <s:v>2</s:v>
      </s:c>
      <s:c r="G7" s="36" t="inlineStr">
        <s:is>
          <s:t>4S6B</s:t>
        </s:is>
      </s:c>
      <s:c r="H7" s="48">
        <s:f>F7/3*10</s:f>
        <s:v>6.66666666666667</s:v>
      </s:c>
      <s:c r="I7" s="48">
        <s:f>H7*7.5%</s:f>
        <s:v>0.5</s:v>
      </s:c>
    </s:row>
    <s:row r="8" ht="24" customHeight="1">
      <s:c r="A8" s="34" t="inlineStr">
        <s:is>
          <s:t>206</s:t>
        </s:is>
      </s:c>
      <s:c r="B8" s="35" t="n"/>
      <s:c r="C8" s="36" t="n">
        <s:v>1</s:v>
      </s:c>
      <s:c r="D8" s="36" t="n">
        <s:v>1</s:v>
      </s:c>
      <s:c r="E8" s="36" t="n">
        <s:v>1</s:v>
      </s:c>
      <s:c r="F8" s="37" t="n">
        <s:v>3</s:v>
      </s:c>
      <s:c r="G8" s="36" t="inlineStr">
        <s:is>
          <s:t>V7HF</s:t>
        </s:is>
      </s:c>
      <s:c r="H8" s="48">
        <s:f>F8/3*10</s:f>
        <s:v>10</s:v>
      </s:c>
      <s:c r="I8" s="48">
        <s:f>H8*7.5%</s:f>
        <s:v>0.75</s:v>
      </s:c>
    </s:row>
    <s:row r="9" ht="24" customHeight="1">
      <s:c r="A9" s="39" t="inlineStr">
        <s:is>
          <s:t>207</s:t>
        </s:is>
      </s:c>
      <s:c r="B9" s="40" t="n"/>
      <s:c r="C9" s="41" t="n">
        <s:v>1</s:v>
      </s:c>
      <s:c r="D9" s="41" t="n">
        <s:v>1</s:v>
      </s:c>
      <s:c r="E9" s="41" t="n">
        <s:v>1</s:v>
      </s:c>
      <s:c r="F9" s="42" t="n">
        <s:v>3</s:v>
      </s:c>
      <s:c r="G9" s="41" t="inlineStr">
        <s:is>
          <s:t>423M</s:t>
        </s:is>
      </s:c>
      <s:c r="H9" s="49">
        <s:f>F9/3*10</s:f>
        <s:v>10</s:v>
      </s:c>
      <s:c r="I9" s="49">
        <s:f>H9*7.5%</s:f>
        <s:v>0.75</s:v>
      </s:c>
    </s:row>
    <s:row r="10" ht="24" customHeight="1">
      <s:c r="A10" s="34" t="inlineStr">
        <s:is>
          <s:t>208</s:t>
        </s:is>
      </s:c>
      <s:c r="B10" s="35" t="n"/>
      <s:c r="C10" s="36" t="n">
        <s:v>1</s:v>
      </s:c>
      <s:c r="D10" s="36" t="n">
        <s:v>0</s:v>
      </s:c>
      <s:c r="E10" s="36" t="n">
        <s:v>1</s:v>
      </s:c>
      <s:c r="F10" s="37" t="n">
        <s:v>2</s:v>
      </s:c>
      <s:c r="G10" s="36" t="inlineStr">
        <s:is>
          <s:t>4GLW</s:t>
        </s:is>
      </s:c>
      <s:c r="H10" s="48">
        <s:f>F10/3*10</s:f>
        <s:v>6.66666666666667</s:v>
      </s:c>
      <s:c r="I10" s="48">
        <s:f>H10*7.5%</s:f>
        <s:v>0.5</s:v>
      </s:c>
    </s:row>
    <s:row r="11" ht="24" customHeight="1">
      <s:c r="A11" s="39" t="inlineStr">
        <s:is>
          <s:t>209</s:t>
        </s:is>
      </s:c>
      <s:c r="B11" s="40" t="n"/>
      <s:c r="C11" s="41" t="n">
        <s:v>1</s:v>
      </s:c>
      <s:c r="D11" s="41" t="n">
        <s:v>1</s:v>
      </s:c>
      <s:c r="E11" s="41" t="n">
        <s:v>0</s:v>
      </s:c>
      <s:c r="F11" s="42" t="n">
        <s:v>2</s:v>
      </s:c>
      <s:c r="G11" s="41" t="inlineStr">
        <s:is>
          <s:t>4H8M</s:t>
        </s:is>
      </s:c>
      <s:c r="H11" s="49">
        <s:f>F11/3*10</s:f>
        <s:v>6.66666666666667</s:v>
      </s:c>
      <s:c r="I11" s="49">
        <s:f>H11*7.5%</s:f>
        <s:v>0.5</s:v>
      </s:c>
    </s:row>
    <s:row r="12" ht="24" customHeight="1">
      <s:c r="A12" s="34" t="inlineStr">
        <s:is>
          <s:t>210</s:t>
        </s:is>
      </s:c>
      <s:c r="B12" s="35" t="n"/>
      <s:c r="C12" s="36" t="n">
        <s:v>0</s:v>
      </s:c>
      <s:c r="D12" s="36" t="n">
        <s:v>1</s:v>
      </s:c>
      <s:c r="E12" s="36" t="n">
        <s:v>1</s:v>
      </s:c>
      <s:c r="F12" s="37" t="n">
        <s:v>2</s:v>
      </s:c>
      <s:c r="G12" s="36" t="inlineStr">
        <s:is>
          <s:t>4S6B</s:t>
        </s:is>
      </s:c>
      <s:c r="H12" s="48">
        <s:f>F12/3*10</s:f>
        <s:v>6.66666666666667</s:v>
      </s:c>
      <s:c r="I12" s="48">
        <s:f>H12*7.5%</s:f>
        <s:v>0.5</s:v>
      </s:c>
    </s:row>
    <s:row r="13" ht="24" customHeight="1">
      <s:c r="A13" s="39" t="inlineStr">
        <s:is>
          <s:t>211</s:t>
        </s:is>
      </s:c>
      <s:c r="B13" s="40" t="n"/>
      <s:c r="C13" s="41" t="n">
        <s:v>1</s:v>
      </s:c>
      <s:c r="D13" s="41" t="n">
        <s:v>0</s:v>
      </s:c>
      <s:c r="E13" s="41" t="n">
        <s:v>1</s:v>
      </s:c>
      <s:c r="F13" s="42" t="n">
        <s:v>2</s:v>
      </s:c>
      <s:c r="G13" s="41" t="inlineStr">
        <s:is>
          <s:t>4HPW</s:t>
        </s:is>
      </s:c>
      <s:c r="H13" s="49">
        <s:f>F13/3*10</s:f>
        <s:v>6.66666666666667</s:v>
      </s:c>
      <s:c r="I13" s="49">
        <s:f>H13*7.5%</s:f>
        <s:v>0.5</s:v>
      </s:c>
    </s:row>
    <s:row r="14" ht="24" customHeight="1">
      <s:c r="A14" s="34" t="inlineStr">
        <s:is>
          <s:t>212</s:t>
        </s:is>
      </s:c>
      <s:c r="B14" s="35" t="n"/>
      <s:c r="C14" s="36" t="n">
        <s:v>1</s:v>
      </s:c>
      <s:c r="D14" s="36" t="n">
        <s:v>0</s:v>
      </s:c>
      <s:c r="E14" s="36" t="n">
        <s:v>1</s:v>
      </s:c>
      <s:c r="F14" s="37" t="n">
        <s:v>2</s:v>
      </s:c>
      <s:c r="G14" s="36" t="inlineStr">
        <s:is>
          <s:t>4GLW</s:t>
        </s:is>
      </s:c>
      <s:c r="H14" s="48">
        <s:f>F14/3*10</s:f>
        <s:v>6.66666666666667</s:v>
      </s:c>
      <s:c r="I14" s="48">
        <s:f>H14*7.5%</s:f>
        <s:v>0.5</s:v>
      </s:c>
    </s:row>
    <s:row r="15" ht="24" customHeight="1">
      <s:c r="A15" s="39" t="inlineStr">
        <s:is>
          <s:t>213</s:t>
        </s:is>
      </s:c>
      <s:c r="B15" s="40" t="n"/>
      <s:c r="C15" s="41" t="n">
        <s:v>0</s:v>
      </s:c>
      <s:c r="D15" s="41" t="n">
        <s:v>0</s:v>
      </s:c>
      <s:c r="E15" s="41" t="n">
        <s:v>1</s:v>
      </s:c>
      <s:c r="F15" s="42" t="n">
        <s:v>1</s:v>
      </s:c>
      <s:c r="G15" s="41" t="inlineStr">
        <s:is>
          <s:t>4S6B</s:t>
        </s:is>
      </s:c>
      <s:c r="H15" s="49">
        <s:f>F15/3*10</s:f>
        <s:v>3.33333333333333</s:v>
      </s:c>
      <s:c r="I15" s="49">
        <s:f>H15*7.5%</s:f>
        <s:v>0.25</s:v>
      </s:c>
    </s:row>
    <s:row r="16" ht="24" customHeight="1">
      <s:c r="A16" s="34" t="inlineStr">
        <s:is>
          <s:t>214</s:t>
        </s:is>
      </s:c>
      <s:c r="B16" s="35" t="n"/>
      <s:c r="C16" s="36" t="n">
        <s:v>1</s:v>
      </s:c>
      <s:c r="D16" s="36" t="n">
        <s:v>1</s:v>
      </s:c>
      <s:c r="E16" s="36" t="n">
        <s:v>1</s:v>
      </s:c>
      <s:c r="F16" s="37" t="n">
        <s:v>3</s:v>
      </s:c>
      <s:c r="G16" s="36" t="inlineStr">
        <s:is>
          <s:t>V2WD</s:t>
        </s:is>
      </s:c>
      <s:c r="H16" s="48">
        <s:f>F16/3*10</s:f>
        <s:v>10</s:v>
      </s:c>
      <s:c r="I16" s="48">
        <s:f>H16*7.5%</s:f>
        <s:v>0.75</s:v>
      </s:c>
    </s:row>
    <s:row r="17" ht="24" customHeight="1">
      <s:c r="A17" s="34" t="inlineStr">
        <s:is>
          <s:t>215</s:t>
        </s:is>
      </s:c>
      <s:c r="B17" s="35" t="n"/>
      <s:c r="C17" s="36" t="n">
        <s:v>1</s:v>
      </s:c>
      <s:c r="D17" s="36" t="n">
        <s:v>0</s:v>
      </s:c>
      <s:c r="E17" s="36" t="n">
        <s:v>1</s:v>
      </s:c>
      <s:c r="F17" s="37" t="n">
        <s:v>2</s:v>
      </s:c>
      <s:c r="G17" s="36" t="inlineStr">
        <s:is>
          <s:t>423M</s:t>
        </s:is>
      </s:c>
      <s:c r="H17" s="48">
        <s:f>F17/3*10</s:f>
        <s:v>6.66666666666667</s:v>
      </s:c>
      <s:c r="I17" s="48">
        <s:f>H17*7.5%</s:f>
        <s:v>0.5</s:v>
      </s:c>
    </s:row>
    <s:row r="18" ht="24" customHeight="1">
      <s:c r="A18" s="39" t="inlineStr">
        <s:is>
          <s:t>217</s:t>
        </s:is>
      </s:c>
      <s:c r="B18" s="40" t="n"/>
      <s:c r="C18" s="41" t="n">
        <s:v>1</s:v>
      </s:c>
      <s:c r="D18" s="41" t="n">
        <s:v>0</s:v>
      </s:c>
      <s:c r="E18" s="41" t="n">
        <s:v>1</s:v>
      </s:c>
      <s:c r="F18" s="42" t="n">
        <s:v>2</s:v>
      </s:c>
      <s:c r="G18" s="41" t="inlineStr">
        <s:is>
          <s:t>4HPW</s:t>
        </s:is>
      </s:c>
      <s:c r="H18" s="49">
        <s:f>F18/3*10</s:f>
        <s:v>6.66666666666667</s:v>
      </s:c>
      <s:c r="I18" s="49">
        <s:f>H18*7.5%</s:f>
        <s:v>0.5</s:v>
      </s:c>
    </s:row>
    <s:row r="19" ht="24" customHeight="1">
      <s:c r="A19" s="34" t="inlineStr">
        <s:is>
          <s:t>219</s:t>
        </s:is>
      </s:c>
      <s:c r="B19" s="35" t="n"/>
      <s:c r="C19" s="36" t="n">
        <s:v>1</s:v>
      </s:c>
      <s:c r="D19" s="36" t="n">
        <s:v>0</s:v>
      </s:c>
      <s:c r="E19" s="36" t="n">
        <s:v>1</s:v>
      </s:c>
      <s:c r="F19" s="37" t="n">
        <s:v>2</s:v>
      </s:c>
      <s:c r="G19" s="36" t="inlineStr">
        <s:is>
          <s:t>4H8M</s:t>
        </s:is>
      </s:c>
      <s:c r="H19" s="48">
        <s:f>F19/3*10</s:f>
        <s:v>6.66666666666667</s:v>
      </s:c>
      <s:c r="I19" s="48">
        <s:f>H19*7.5%</s:f>
        <s:v>0.5</s:v>
      </s:c>
    </s:row>
    <s:row r="20" ht="24" customHeight="1">
      <s:c r="A20" s="39" t="inlineStr">
        <s:is>
          <s:t>221</s:t>
        </s:is>
      </s:c>
      <s:c r="B20" s="40" t="n"/>
      <s:c r="C20" s="41" t="n">
        <s:v>1</s:v>
      </s:c>
      <s:c r="D20" s="41" t="n">
        <s:v>0</s:v>
      </s:c>
      <s:c r="E20" s="41" t="n">
        <s:v>1</s:v>
      </s:c>
      <s:c r="F20" s="42" t="n">
        <s:v>2</s:v>
      </s:c>
      <s:c r="G20" s="41" t="inlineStr">
        <s:is>
          <s:t>423M</s:t>
        </s:is>
      </s:c>
      <s:c r="H20" s="49">
        <s:f>F20/3*10</s:f>
        <s:v>6.66666666666667</s:v>
      </s:c>
      <s:c r="I20" s="49">
        <s:f>H20*7.5%</s:f>
        <s:v>0.5</s:v>
      </s:c>
    </s:row>
    <s:row r="21" ht="24" customHeight="1">
      <s:c r="A21" s="34" t="inlineStr">
        <s:is>
          <s:t>222</s:t>
        </s:is>
      </s:c>
      <s:c r="B21" s="35" t="n"/>
      <s:c r="C21" s="36" t="n">
        <s:v>1</s:v>
      </s:c>
      <s:c r="D21" s="36" t="n">
        <s:v>1</s:v>
      </s:c>
      <s:c r="E21" s="36" t="n">
        <s:v>1</s:v>
      </s:c>
      <s:c r="F21" s="37" t="n">
        <s:v>3</s:v>
      </s:c>
      <s:c r="G21" s="36" t="inlineStr">
        <s:is>
          <s:t>4H8M</s:t>
        </s:is>
      </s:c>
      <s:c r="H21" s="48">
        <s:f>F21/3*10</s:f>
        <s:v>10</s:v>
      </s:c>
      <s:c r="I21" s="48">
        <s:f>H21*7.5%</s:f>
        <s:v>0.75</s:v>
      </s:c>
    </s:row>
    <s:row r="22" ht="24" customHeight="1">
      <s:c r="A22" s="39" t="inlineStr">
        <s:is>
          <s:t>223</s:t>
        </s:is>
      </s:c>
      <s:c r="B22" s="40" t="n"/>
      <s:c r="C22" s="41" t="n">
        <s:v>1</s:v>
      </s:c>
      <s:c r="D22" s="41" t="n">
        <s:v>0</s:v>
      </s:c>
      <s:c r="E22" s="41" t="n">
        <s:v>1</s:v>
      </s:c>
      <s:c r="F22" s="42" t="n">
        <s:v>2</s:v>
      </s:c>
      <s:c r="G22" s="41" t="inlineStr">
        <s:is>
          <s:t>4HPW</s:t>
        </s:is>
      </s:c>
      <s:c r="H22" s="49">
        <s:f>F22/3*10</s:f>
        <s:v>6.66666666666667</s:v>
      </s:c>
      <s:c r="I22" s="49">
        <s:f>H22*7.5%</s:f>
        <s:v>0.5</s:v>
      </s:c>
    </s:row>
    <s:row r="23" ht="24" customHeight="1">
      <s:c r="A23" s="34" t="inlineStr">
        <s:is>
          <s:t>224</s:t>
        </s:is>
      </s:c>
      <s:c r="B23" s="35" t="n"/>
      <s:c r="C23" s="36" t="n">
        <s:v>1</s:v>
      </s:c>
      <s:c r="D23" s="36" t="n">
        <s:v>1</s:v>
      </s:c>
      <s:c r="E23" s="36" t="n">
        <s:v>0</s:v>
      </s:c>
      <s:c r="F23" s="37" t="n">
        <s:v>2</s:v>
      </s:c>
      <s:c r="G23" s="36" t="inlineStr">
        <s:is>
          <s:t>4H8M</s:t>
        </s:is>
      </s:c>
      <s:c r="H23" s="48">
        <s:f>F23/3*10</s:f>
        <s:v>6.66666666666667</s:v>
      </s:c>
      <s:c r="I23" s="48">
        <s:f>H23*7.5%</s:f>
        <s:v>0.5</s:v>
      </s:c>
    </s:row>
    <s:row r="24" ht="24" customHeight="1">
      <s:c r="A24" s="39" t="inlineStr">
        <s:is>
          <s:t>225</s:t>
        </s:is>
      </s:c>
      <s:c r="B24" s="40" t="n"/>
      <s:c r="C24" s="41" t="n">
        <s:v>1</s:v>
      </s:c>
      <s:c r="D24" s="41" t="n">
        <s:v>0</s:v>
      </s:c>
      <s:c r="E24" s="41" t="n">
        <s:v>1</s:v>
      </s:c>
      <s:c r="F24" s="42" t="n">
        <s:v>2</s:v>
      </s:c>
      <s:c r="G24" s="41" t="inlineStr">
        <s:is>
          <s:t>4HPW</s:t>
        </s:is>
      </s:c>
      <s:c r="H24" s="49">
        <s:f>F24/3*10</s:f>
        <s:v>6.66666666666667</s:v>
      </s:c>
      <s:c r="I24" s="49">
        <s:f>H24*7.5%</s:f>
        <s:v>0.5</s:v>
      </s:c>
    </s:row>
    <s:row r="25" ht="24" customHeight="1">
      <s:c r="A25" s="34" t="inlineStr">
        <s:is>
          <s:t>226</s:t>
        </s:is>
      </s:c>
      <s:c r="B25" s="35" t="n"/>
      <s:c r="C25" s="36" t="n">
        <s:v>1</s:v>
      </s:c>
      <s:c r="D25" s="36" t="n">
        <s:v>1</s:v>
      </s:c>
      <s:c r="E25" s="36" t="n">
        <s:v>1</s:v>
      </s:c>
      <s:c r="F25" s="37" t="n">
        <s:v>3</s:v>
      </s:c>
      <s:c r="G25" s="36" t="inlineStr">
        <s:is>
          <s:t>423M</s:t>
        </s:is>
      </s:c>
      <s:c r="H25" s="48">
        <s:f>F25/3*10</s:f>
        <s:v>10</s:v>
      </s:c>
      <s:c r="I25" s="48">
        <s:f>H25*7.5%</s:f>
        <s:v>0.75</s:v>
      </s:c>
    </s:row>
    <s:row r="26" ht="24" customHeight="1">
      <s:c r="A26" s="39" t="inlineStr">
        <s:is>
          <s:t>227</s:t>
        </s:is>
      </s:c>
      <s:c r="B26" s="40" t="n"/>
      <s:c r="C26" s="41" t="n">
        <s:v>0</s:v>
      </s:c>
      <s:c r="D26" s="41" t="n">
        <s:v>0</s:v>
      </s:c>
      <s:c r="E26" s="41" t="n">
        <s:v>0</s:v>
      </s:c>
      <s:c r="F26" s="42" t="n">
        <s:v>0</s:v>
      </s:c>
      <s:c r="G26" s="41" t="inlineStr">
        <s:is>
          <s:t>423M</s:t>
        </s:is>
      </s:c>
      <s:c r="H26" s="49">
        <s:f>F26/3*10</s:f>
        <s:v>0</s:v>
      </s:c>
      <s:c r="I26" s="49">
        <s:f>H26*7.5%</s:f>
        <s:v>0</s:v>
      </s:c>
    </s:row>
    <s:row r="27" ht="24" customHeight="1">
      <s:c r="A27" s="34" t="inlineStr">
        <s:is>
          <s:t>228</s:t>
        </s:is>
      </s:c>
      <s:c r="B27" s="35" t="n"/>
      <s:c r="C27" s="36" t="n">
        <s:v>1</s:v>
      </s:c>
      <s:c r="D27" s="36" t="n">
        <s:v>1</s:v>
      </s:c>
      <s:c r="E27" s="36" t="n">
        <s:v>0</s:v>
      </s:c>
      <s:c r="F27" s="37" t="n">
        <s:v>2</s:v>
      </s:c>
      <s:c r="G27" s="36" t="inlineStr">
        <s:is>
          <s:t>4HPW</s:t>
        </s:is>
      </s:c>
      <s:c r="H27" s="48">
        <s:f>F27/3*10</s:f>
        <s:v>6.66666666666667</s:v>
      </s:c>
      <s:c r="I27" s="48">
        <s:f>H27*7.5%</s:f>
        <s:v>0.5</s:v>
      </s:c>
    </s:row>
    <s:row r="28" ht="24" customHeight="1">
      <s:c r="A28" s="39" t="inlineStr">
        <s:is>
          <s:t>229</s:t>
        </s:is>
      </s:c>
      <s:c r="B28" s="40" t="n"/>
      <s:c r="C28" s="41" t="n">
        <s:v>0</s:v>
      </s:c>
      <s:c r="D28" s="41" t="n">
        <s:v>0</s:v>
      </s:c>
      <s:c r="E28" s="41" t="n">
        <s:v>1</s:v>
      </s:c>
      <s:c r="F28" s="42" t="n">
        <s:v>1</s:v>
      </s:c>
      <s:c r="G28" s="41" t="inlineStr">
        <s:is>
          <s:t>4S6B</s:t>
        </s:is>
      </s:c>
      <s:c r="H28" s="49">
        <s:f>F28/3*10</s:f>
        <s:v>3.33333333333333</s:v>
      </s:c>
      <s:c r="I28" s="49">
        <s:f>H28*7.5%</s:f>
        <s:v>0.25</s:v>
      </s:c>
    </s:row>
    <s:row r="29" ht="24" customHeight="1">
      <s:c r="A29" s="34" t="inlineStr">
        <s:is>
          <s:t>230</s:t>
        </s:is>
      </s:c>
      <s:c r="B29" s="35" t="n"/>
      <s:c r="C29" s="36" t="n">
        <s:v>1</s:v>
      </s:c>
      <s:c r="D29" s="36" t="n">
        <s:v>0</s:v>
      </s:c>
      <s:c r="E29" s="36" t="n">
        <s:v>0</s:v>
      </s:c>
      <s:c r="F29" s="37" t="n">
        <s:v>1</s:v>
      </s:c>
      <s:c r="G29" s="36" t="inlineStr">
        <s:is>
          <s:t>4H8M</s:t>
        </s:is>
      </s:c>
      <s:c r="H29" s="48">
        <s:f>F29/3*10</s:f>
        <s:v>3.33333333333333</s:v>
      </s:c>
      <s:c r="I29" s="48">
        <s:f>H29*7.5%</s:f>
        <s:v>0.25</s:v>
      </s:c>
    </s:row>
    <s:row r="30" ht="24" customHeight="1">
      <s:c r="A30" s="39" t="inlineStr">
        <s:is>
          <s:t>232</s:t>
        </s:is>
      </s:c>
      <s:c r="B30" s="40" t="n"/>
      <s:c r="C30" s="41" t="n">
        <s:v>1</s:v>
      </s:c>
      <s:c r="D30" s="41" t="n">
        <s:v>0</s:v>
      </s:c>
      <s:c r="E30" s="41" t="n">
        <s:v>0</s:v>
      </s:c>
      <s:c r="F30" s="42" t="n">
        <s:v>1</s:v>
      </s:c>
      <s:c r="G30" s="41" t="inlineStr">
        <s:is>
          <s:t>4S6B</s:t>
        </s:is>
      </s:c>
      <s:c r="H30" s="49">
        <s:f>F30/3*10</s:f>
        <s:v>3.33333333333333</s:v>
      </s:c>
      <s:c r="I30" s="49">
        <s:f>H30*7.5%</s:f>
        <s:v>0.25</s:v>
      </s:c>
    </s:row>
    <s:row r="31" ht="24" customHeight="1">
      <s:c r="A31" s="34" t="inlineStr">
        <s:is>
          <s:t>233</s:t>
        </s:is>
      </s:c>
      <s:c r="B31" s="35" t="n"/>
      <s:c r="C31" s="36" t="n">
        <s:v>0</s:v>
      </s:c>
      <s:c r="D31" s="36" t="n">
        <s:v>0</s:v>
      </s:c>
      <s:c r="E31" s="36" t="n">
        <s:v>1</s:v>
      </s:c>
      <s:c r="F31" s="37" t="n">
        <s:v>1</s:v>
      </s:c>
      <s:c r="G31" s="36" t="inlineStr">
        <s:is>
          <s:t>4GLW</s:t>
        </s:is>
      </s:c>
      <s:c r="H31" s="48">
        <s:f>F31/3*10</s:f>
        <s:v>3.33333333333333</s:v>
      </s:c>
      <s:c r="I31" s="48">
        <s:f>H31*7.5%</s:f>
        <s:v>0.25</s:v>
      </s:c>
    </s:row>
    <s:row r="32" ht="24" customHeight="1">
      <s:c r="A32" s="39" t="inlineStr">
        <s:is>
          <s:t>234</s:t>
        </s:is>
      </s:c>
      <s:c r="B32" s="40" t="n"/>
      <s:c r="C32" s="41" t="n">
        <s:v>1</s:v>
      </s:c>
      <s:c r="D32" s="41" t="n">
        <s:v>0</s:v>
      </s:c>
      <s:c r="E32" s="41" t="n">
        <s:v>1</s:v>
      </s:c>
      <s:c r="F32" s="42" t="n">
        <s:v>2</s:v>
      </s:c>
      <s:c r="G32" s="41" t="inlineStr">
        <s:is>
          <s:t>4GLW</s:t>
        </s:is>
      </s:c>
      <s:c r="H32" s="49">
        <s:f>F32/3*10</s:f>
        <s:v>6.66666666666667</s:v>
      </s:c>
      <s:c r="I32" s="49">
        <s:f>H32*7.5%</s:f>
        <s:v>0.5</s:v>
      </s:c>
    </s:row>
    <s:row r="33" ht="24" customHeight="1">
      <s:c r="A33" s="34" t="inlineStr">
        <s:is>
          <s:t>235</s:t>
        </s:is>
      </s:c>
      <s:c r="B33" s="35" t="n"/>
      <s:c r="C33" s="36" t="n">
        <s:v>1</s:v>
      </s:c>
      <s:c r="D33" s="36" t="n">
        <s:v>0</s:v>
      </s:c>
      <s:c r="E33" s="36" t="n">
        <s:v>0</s:v>
      </s:c>
      <s:c r="F33" s="37" t="n">
        <s:v>1</s:v>
      </s:c>
      <s:c r="G33" s="36" t="inlineStr">
        <s:is>
          <s:t>4GLW</s:t>
        </s:is>
      </s:c>
      <s:c r="H33" s="48">
        <s:f>F33/3*10</s:f>
        <s:v>3.33333333333333</s:v>
      </s:c>
      <s:c r="I33" s="48">
        <s:f>H33*7.5%</s:f>
        <s:v>0.25</s:v>
      </s:c>
    </s:row>
    <s:row r="34" ht="24" customHeight="1">
      <s:c r="A34" s="39" t="inlineStr">
        <s:is>
          <s:t>236</s:t>
        </s:is>
      </s:c>
      <s:c r="B34" s="40" t="n"/>
      <s:c r="C34" s="41" t="n">
        <s:v>0</s:v>
      </s:c>
      <s:c r="D34" s="41" t="n">
        <s:v>1</s:v>
      </s:c>
      <s:c r="E34" s="41" t="n">
        <s:v>0</s:v>
      </s:c>
      <s:c r="F34" s="42" t="n">
        <s:v>1</s:v>
      </s:c>
      <s:c r="G34" s="41" t="inlineStr">
        <s:is>
          <s:t>4H8M</s:t>
        </s:is>
      </s:c>
      <s:c r="H34" s="49">
        <s:f>F34/3*10</s:f>
        <s:v>3.33333333333333</s:v>
      </s:c>
      <s:c r="I34" s="49">
        <s:f>H34*7.5%</s:f>
        <s:v>0.25</s:v>
      </s:c>
    </s:row>
    <s:row r="35" ht="24" customHeight="1">
      <s:c r="A35" s="34" t="inlineStr">
        <s:is>
          <s:t>238</s:t>
        </s:is>
      </s:c>
      <s:c r="B35" s="35" t="n"/>
      <s:c r="C35" s="36" t="n">
        <s:v>1</s:v>
      </s:c>
      <s:c r="D35" s="36" t="n">
        <s:v>0</s:v>
      </s:c>
      <s:c r="E35" s="36" t="n">
        <s:v>0</s:v>
      </s:c>
      <s:c r="F35" s="37" t="n">
        <s:v>1</s:v>
      </s:c>
      <s:c r="G35" s="36" t="inlineStr">
        <s:is>
          <s:t>4HPW</s:t>
        </s:is>
      </s:c>
      <s:c r="H35" s="48">
        <s:f>F35/3*10</s:f>
        <s:v>3.33333333333333</s:v>
      </s:c>
      <s:c r="I35" s="48">
        <s:f>H35*7.5%</s:f>
        <s:v>0.25</s:v>
      </s:c>
    </s:row>
    <s:row r="36" ht="24" customHeight="1">
      <s:c r="A36" s="39" t="inlineStr">
        <s:is>
          <s:t>239</s:t>
        </s:is>
      </s:c>
      <s:c r="B36" s="40" t="n"/>
      <s:c r="C36" s="41" t="n">
        <s:v>0</s:v>
      </s:c>
      <s:c r="D36" s="41" t="n">
        <s:v>0</s:v>
      </s:c>
      <s:c r="E36" s="41" t="n">
        <s:v>0</s:v>
      </s:c>
      <s:c r="F36" s="42" t="n">
        <s:v>0</s:v>
      </s:c>
      <s:c r="G36" s="41" t="inlineStr">
        <s:is>
          <s:t>4GLW</s:t>
        </s:is>
      </s:c>
      <s:c r="H36" s="49">
        <s:f>F36/3*10</s:f>
        <s:v>0</s:v>
      </s:c>
      <s:c r="I36" s="49">
        <s:f>H36*7.5%</s:f>
        <s:v>0</s:v>
      </s:c>
    </s:row>
    <s:row r="37" ht="24" customHeight="1">
      <s:c r="A37" s="34" t="inlineStr">
        <s:is>
          <s:t>240</s:t>
        </s:is>
      </s:c>
      <s:c r="B37" s="35" t="n"/>
      <s:c r="C37" s="36" t="n">
        <s:v>0</s:v>
      </s:c>
      <s:c r="D37" s="36" t="n">
        <s:v>0</s:v>
      </s:c>
      <s:c r="E37" s="36" t="n">
        <s:v>0</s:v>
      </s:c>
      <s:c r="F37" s="37" t="n">
        <s:v>0</s:v>
      </s:c>
      <s:c r="G37" s="36" t="inlineStr">
        <s:is>
          <s:t>4S6B</s:t>
        </s:is>
      </s:c>
      <s:c r="H37" s="48">
        <s:f>F37/3*10</s:f>
        <s:v>0</s:v>
      </s:c>
      <s:c r="I37" s="48">
        <s:f>H37*7.5%</s:f>
        <s:v>0</s:v>
      </s:c>
    </s:row>
    <s:row r="40" ht="30" customHeight="1">
      <s:c r="A40" s="50" t="inlineStr">
        <s:is>
          <s:t>Quiz 4: maximum 3 raw points. Grade / 10 = raw points ÷ 3 × 10. This quiz contributes 7.5% of the course grade, at most 0.75 course points.</s:t>
        </s:is>
      </s:c>
    </s:row>
    <s:row r="41" ht="30" customHeight="1">
      <s:c r="A41" s="51" t="inlineStr">
        <s:is>
          <s:t>For the same quiz and student ID, the highest score across original and makeup attempts is retained.</s:t>
        </s:is>
      </s:c>
    </s:row>
  </s:sheetData>
  <s:autoFilter ref="A1:I37"/>
  <s:mergeCells count="2">
    <s:mergeCell ref="A40:I40"/>
    <s:mergeCell ref="A41:I41"/>
  </s:mergeCells>
  <s:dataValidations count="1">
    <s:dataValidation sqref="C2:E37" showDropDown="0" showInputMessage="0" showErrorMessage="1" allowBlank="0" errorTitle="Invalid question score" error="Each question earns either 0 or 1 point." type="whole" operator="between">
      <s:formula1>0</s:formula1>
      <s:formula2>1</s:formula2>
    </s:dataValidation>
  </s:dataValidations>
  <s:pageMargins left="0.75" right="0.75" top="1" bottom="1" header="0.5" footer="0.5"/>
  <s:pageSetup orientation="landscape" paperSize="9" fitToHeight="0" fitToWidth="1"/>
  <s:headerFooter>
    <s:oddHeader/>
    <s:oddFooter>&amp;CQuiz 4&amp;RPage &amp;P of &amp;N</s:oddFooter>
    <s:evenHeader/>
    <s:evenFooter/>
    <s:firstHeader/>
    <s:firstFooter/>
  </s:headerFooter>
  <s:legacyDrawing r:id="anysvml"/>
</s:worksheet>
</file>

<file path=xl/worksheets/sheet5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 fitToPage="1"/>
  </s:sheetPr>
  <s:dimension ref="A1:E44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16" customWidth="1" min="1" max="1"/>
    <s:col width="22" customWidth="1" min="2" max="2"/>
    <s:col width="20" customWidth="1" min="3" max="3"/>
    <s:col width="26" customWidth="1" min="4" max="4"/>
    <s:col width="16" customWidth="1" min="5" max="5"/>
  </s:cols>
  <s:sheetData>
    <s:row r="1" ht="42" customHeight="1">
      <s:c r="A1" s="52" t="inlineStr">
        <s:is>
          <s:t>Student ID</s:t>
        </s:is>
      </s:c>
      <s:c r="B1" s="52" t="inlineStr">
        <s:is>
          <s:t>Raw points / 20</s:t>
        </s:is>
      </s:c>
      <s:c r="C1" s="52" t="inlineStr">
        <s:is>
          <s:t>Grade / 10</s:t>
        </s:is>
      </s:c>
      <s:c r="D1" s="52" t="inlineStr">
        <s:is>
          <s:t>Course points / 2</s:t>
        </s:is>
      </s:c>
      <s:c r="E1" s="52" t="inlineStr">
        <s:is>
          <s:t>Form</s:t>
        </s:is>
      </s:c>
    </s:row>
    <s:row r="2" ht="24" customHeight="1">
      <s:c r="A2" s="53" t="inlineStr">
        <s:is>
          <s:t>200</s:t>
        </s:is>
      </s:c>
      <s:c r="B2" s="54" t="n">
        <s:v>15</s:v>
      </s:c>
      <s:c r="C2" s="55">
        <s:f>B2/20*10</s:f>
        <s:v>7.5</s:v>
      </s:c>
      <s:c r="D2" s="55">
        <s:f>C2*20%</s:f>
        <s:v>1.5</s:v>
      </s:c>
      <s:c r="E2" s="54" t="inlineStr">
        <s:is>
          <s:t>M7KD</s:t>
        </s:is>
      </s:c>
    </s:row>
    <s:row r="3" ht="24" customHeight="1">
      <s:c r="A3" s="56" t="inlineStr">
        <s:is>
          <s:t>201</s:t>
        </s:is>
      </s:c>
      <s:c r="B3" s="57" t="n">
        <s:v>14</s:v>
      </s:c>
      <s:c r="C3" s="58">
        <s:f>B3/20*10</s:f>
        <s:v>7</s:v>
      </s:c>
      <s:c r="D3" s="58">
        <s:f>C3*20%</s:f>
        <s:v>1.4</s:v>
      </s:c>
      <s:c r="E3" s="57" t="inlineStr">
        <s:is>
          <s:t>M6WP</s:t>
        </s:is>
      </s:c>
    </s:row>
    <s:row r="4" ht="24" customHeight="1">
      <s:c r="A4" s="53" t="inlineStr">
        <s:is>
          <s:t>202</s:t>
        </s:is>
      </s:c>
      <s:c r="B4" s="54" t="n">
        <s:v>19</s:v>
      </s:c>
      <s:c r="C4" s="55">
        <s:f>B4/20*10</s:f>
        <s:v>9.5</s:v>
      </s:c>
      <s:c r="D4" s="55">
        <s:f>C4*20%</s:f>
        <s:v>1.9</s:v>
      </s:c>
      <s:c r="E4" s="54" t="inlineStr">
        <s:is>
          <s:t>M6WP</s:t>
        </s:is>
      </s:c>
    </s:row>
    <s:row r="5" ht="24" customHeight="1">
      <s:c r="A5" s="56" t="inlineStr">
        <s:is>
          <s:t>203</s:t>
        </s:is>
      </s:c>
      <s:c r="B5" s="57" t="n">
        <s:v>17</s:v>
      </s:c>
      <s:c r="C5" s="58">
        <s:f>B5/20*10</s:f>
        <s:v>8.5</s:v>
      </s:c>
      <s:c r="D5" s="58">
        <s:f>C5*20%</s:f>
        <s:v>1.7</s:v>
      </s:c>
      <s:c r="E5" s="57" t="inlineStr">
        <s:is>
          <s:t>M2HF</s:t>
        </s:is>
      </s:c>
    </s:row>
    <s:row r="6" ht="24" customHeight="1">
      <s:c r="A6" s="53" t="inlineStr">
        <s:is>
          <s:t>204</s:t>
        </s:is>
      </s:c>
      <s:c r="B6" s="54" t="n">
        <s:v>19</s:v>
      </s:c>
      <s:c r="C6" s="55">
        <s:f>B6/20*10</s:f>
        <s:v>9.5</s:v>
      </s:c>
      <s:c r="D6" s="55">
        <s:f>C6*20%</s:f>
        <s:v>1.9</s:v>
      </s:c>
      <s:c r="E6" s="54" t="inlineStr">
        <s:is>
          <s:t>M8VN</s:t>
        </s:is>
      </s:c>
    </s:row>
    <s:row r="7" ht="24" customHeight="1">
      <s:c r="A7" s="56" t="inlineStr">
        <s:is>
          <s:t>205</s:t>
        </s:is>
      </s:c>
      <s:c r="B7" s="57" t="n">
        <s:v>16</s:v>
      </s:c>
      <s:c r="C7" s="58">
        <s:f>B7/20*10</s:f>
        <s:v>8</s:v>
      </s:c>
      <s:c r="D7" s="58">
        <s:f>C7*20%</s:f>
        <s:v>1.6</s:v>
      </s:c>
      <s:c r="E7" s="57" t="inlineStr">
        <s:is>
          <s:t>M3RX</s:t>
        </s:is>
      </s:c>
    </s:row>
    <s:row r="8" ht="24" customHeight="1">
      <s:c r="A8" s="53" t="inlineStr">
        <s:is>
          <s:t>206</s:t>
        </s:is>
      </s:c>
      <s:c r="B8" s="54" t="n">
        <s:v>16</s:v>
      </s:c>
      <s:c r="C8" s="55">
        <s:f>B8/20*10</s:f>
        <s:v>8</s:v>
      </s:c>
      <s:c r="D8" s="55">
        <s:f>C8*20%</s:f>
        <s:v>1.6</s:v>
      </s:c>
      <s:c r="E8" s="54" t="inlineStr">
        <s:is>
          <s:t>M6WP</s:t>
        </s:is>
      </s:c>
    </s:row>
    <s:row r="9" ht="24" customHeight="1">
      <s:c r="A9" s="56" t="inlineStr">
        <s:is>
          <s:t>207</s:t>
        </s:is>
      </s:c>
      <s:c r="B9" s="57" t="n">
        <s:v>16</s:v>
      </s:c>
      <s:c r="C9" s="58">
        <s:f>B9/20*10</s:f>
        <s:v>8</s:v>
      </s:c>
      <s:c r="D9" s="58">
        <s:f>C9*20%</s:f>
        <s:v>1.6</s:v>
      </s:c>
      <s:c r="E9" s="57" t="inlineStr">
        <s:is>
          <s:t>M7KD</s:t>
        </s:is>
      </s:c>
    </s:row>
    <s:row r="10" ht="24" customHeight="1">
      <s:c r="A10" s="53" t="inlineStr">
        <s:is>
          <s:t>208</s:t>
        </s:is>
      </s:c>
      <s:c r="B10" s="54" t="n">
        <s:v>13</s:v>
      </s:c>
      <s:c r="C10" s="55">
        <s:f>B10/20*10</s:f>
        <s:v>6.5</s:v>
      </s:c>
      <s:c r="D10" s="55">
        <s:f>C10*20%</s:f>
        <s:v>1.3</s:v>
      </s:c>
      <s:c r="E10" s="54" t="inlineStr">
        <s:is>
          <s:t>M7KD</s:t>
        </s:is>
      </s:c>
    </s:row>
    <s:row r="11" ht="24" customHeight="1">
      <s:c r="A11" s="56" t="inlineStr">
        <s:is>
          <s:t>209</s:t>
        </s:is>
      </s:c>
      <s:c r="B11" s="57" t="n">
        <s:v>11</s:v>
      </s:c>
      <s:c r="C11" s="58">
        <s:f>B11/20*10</s:f>
        <s:v>5.5</s:v>
      </s:c>
      <s:c r="D11" s="58">
        <s:f>C11*20%</s:f>
        <s:v>1.1</s:v>
      </s:c>
      <s:c r="E11" s="57" t="inlineStr">
        <s:is>
          <s:t>M6WP</s:t>
        </s:is>
      </s:c>
    </s:row>
    <s:row r="12" ht="24" customHeight="1">
      <s:c r="A12" s="53" t="inlineStr">
        <s:is>
          <s:t>210</s:t>
        </s:is>
      </s:c>
      <s:c r="B12" s="54" t="n">
        <s:v>17</s:v>
      </s:c>
      <s:c r="C12" s="55">
        <s:f>B12/20*10</s:f>
        <s:v>8.5</s:v>
      </s:c>
      <s:c r="D12" s="55">
        <s:f>C12*20%</s:f>
        <s:v>1.7</s:v>
      </s:c>
      <s:c r="E12" s="54" t="inlineStr">
        <s:is>
          <s:t>M2HF</s:t>
        </s:is>
      </s:c>
    </s:row>
    <s:row r="13" ht="24" customHeight="1">
      <s:c r="A13" s="56" t="inlineStr">
        <s:is>
          <s:t>211</s:t>
        </s:is>
      </s:c>
      <s:c r="B13" s="57" t="n">
        <s:v>15</s:v>
      </s:c>
      <s:c r="C13" s="58">
        <s:f>B13/20*10</s:f>
        <s:v>7.5</s:v>
      </s:c>
      <s:c r="D13" s="58">
        <s:f>C13*20%</s:f>
        <s:v>1.5</s:v>
      </s:c>
      <s:c r="E13" s="57" t="inlineStr">
        <s:is>
          <s:t>M6WP</s:t>
        </s:is>
      </s:c>
    </s:row>
    <s:row r="14" ht="24" customHeight="1">
      <s:c r="A14" s="53" t="inlineStr">
        <s:is>
          <s:t>212</s:t>
        </s:is>
      </s:c>
      <s:c r="B14" s="54" t="n">
        <s:v>15</s:v>
      </s:c>
      <s:c r="C14" s="55">
        <s:f>B14/20*10</s:f>
        <s:v>7.5</s:v>
      </s:c>
      <s:c r="D14" s="55">
        <s:f>C14*20%</s:f>
        <s:v>1.5</s:v>
      </s:c>
      <s:c r="E14" s="54" t="inlineStr">
        <s:is>
          <s:t>M7KD</s:t>
        </s:is>
      </s:c>
    </s:row>
    <s:row r="15" ht="24" customHeight="1">
      <s:c r="A15" s="56" t="inlineStr">
        <s:is>
          <s:t>213</s:t>
        </s:is>
      </s:c>
      <s:c r="B15" s="57" t="n">
        <s:v>13</s:v>
      </s:c>
      <s:c r="C15" s="58">
        <s:f>B15/20*10</s:f>
        <s:v>6.5</s:v>
      </s:c>
      <s:c r="D15" s="58">
        <s:f>C15*20%</s:f>
        <s:v>1.3</s:v>
      </s:c>
      <s:c r="E15" s="57" t="inlineStr">
        <s:is>
          <s:t>M8VN</s:t>
        </s:is>
      </s:c>
    </s:row>
    <s:row r="16" ht="24" customHeight="1">
      <s:c r="A16" s="53" t="inlineStr">
        <s:is>
          <s:t>214</s:t>
        </s:is>
      </s:c>
      <s:c r="B16" s="54" t="n">
        <s:v>20</s:v>
      </s:c>
      <s:c r="C16" s="55">
        <s:f>B16/20*10</s:f>
        <s:v>10</s:v>
      </s:c>
      <s:c r="D16" s="55">
        <s:f>C16*20%</s:f>
        <s:v>2</s:v>
      </s:c>
      <s:c r="E16" s="54" t="inlineStr">
        <s:is>
          <s:t>M8VN</s:t>
        </s:is>
      </s:c>
    </s:row>
    <s:row r="17" ht="24" customHeight="1">
      <s:c r="A17" s="56" t="inlineStr">
        <s:is>
          <s:t>215</s:t>
        </s:is>
      </s:c>
      <s:c r="B17" s="57" t="n">
        <s:v>16</s:v>
      </s:c>
      <s:c r="C17" s="58">
        <s:f>B17/20*10</s:f>
        <s:v>8</s:v>
      </s:c>
      <s:c r="D17" s="58">
        <s:f>C17*20%</s:f>
        <s:v>1.6</s:v>
      </s:c>
      <s:c r="E17" s="57" t="inlineStr">
        <s:is>
          <s:t>M2HF</s:t>
        </s:is>
      </s:c>
    </s:row>
    <s:row r="18" ht="24" customHeight="1">
      <s:c r="A18" s="53" t="inlineStr">
        <s:is>
          <s:t>216</s:t>
        </s:is>
      </s:c>
      <s:c r="B18" s="54" t="n">
        <s:v>12</s:v>
      </s:c>
      <s:c r="C18" s="55">
        <s:f>B18/20*10</s:f>
        <s:v>6</s:v>
      </s:c>
      <s:c r="D18" s="55">
        <s:f>C18*20%</s:f>
        <s:v>1.2</s:v>
      </s:c>
      <s:c r="E18" s="54" t="inlineStr">
        <s:is>
          <s:t>M3RX</s:t>
        </s:is>
      </s:c>
    </s:row>
    <s:row r="19" ht="24" customHeight="1">
      <s:c r="A19" s="56" t="inlineStr">
        <s:is>
          <s:t>217</s:t>
        </s:is>
      </s:c>
      <s:c r="B19" s="57" t="n">
        <s:v>16</s:v>
      </s:c>
      <s:c r="C19" s="58">
        <s:f>B19/20*10</s:f>
        <s:v>8</s:v>
      </s:c>
      <s:c r="D19" s="58">
        <s:f>C19*20%</s:f>
        <s:v>1.6</s:v>
      </s:c>
      <s:c r="E19" s="57" t="inlineStr">
        <s:is>
          <s:t>M3RX</s:t>
        </s:is>
      </s:c>
    </s:row>
    <s:row r="20" ht="24" customHeight="1">
      <s:c r="A20" s="53" t="inlineStr">
        <s:is>
          <s:t>219</s:t>
        </s:is>
      </s:c>
      <s:c r="B20" s="54" t="n">
        <s:v>12</s:v>
      </s:c>
      <s:c r="C20" s="55">
        <s:f>B20/20*10</s:f>
        <s:v>6</s:v>
      </s:c>
      <s:c r="D20" s="55">
        <s:f>C20*20%</s:f>
        <s:v>1.2</s:v>
      </s:c>
      <s:c r="E20" s="54" t="inlineStr">
        <s:is>
          <s:t>M8VN</s:t>
        </s:is>
      </s:c>
    </s:row>
    <s:row r="21" ht="24" customHeight="1">
      <s:c r="A21" s="56" t="inlineStr">
        <s:is>
          <s:t>220</s:t>
        </s:is>
      </s:c>
      <s:c r="B21" s="57" t="n">
        <s:v>7</s:v>
      </s:c>
      <s:c r="C21" s="58">
        <s:f>B21/20*10</s:f>
        <s:v>3.5</s:v>
      </s:c>
      <s:c r="D21" s="58">
        <s:f>C21*20%</s:f>
        <s:v>0.7</s:v>
      </s:c>
      <s:c r="E21" s="57" t="inlineStr">
        <s:is>
          <s:t>M3RX</s:t>
        </s:is>
      </s:c>
    </s:row>
    <s:row r="22" ht="24" customHeight="1">
      <s:c r="A22" s="53" t="inlineStr">
        <s:is>
          <s:t>221</s:t>
        </s:is>
      </s:c>
      <s:c r="B22" s="54" t="n">
        <s:v>19</s:v>
      </s:c>
      <s:c r="C22" s="55">
        <s:f>B22/20*10</s:f>
        <s:v>9.5</s:v>
      </s:c>
      <s:c r="D22" s="55">
        <s:f>C22*20%</s:f>
        <s:v>1.9</s:v>
      </s:c>
      <s:c r="E22" s="54" t="inlineStr">
        <s:is>
          <s:t>M8VN</s:t>
        </s:is>
      </s:c>
    </s:row>
    <s:row r="23" ht="24" customHeight="1">
      <s:c r="A23" s="56" t="inlineStr">
        <s:is>
          <s:t>222</s:t>
        </s:is>
      </s:c>
      <s:c r="B23" s="57" t="n">
        <s:v>2</s:v>
      </s:c>
      <s:c r="C23" s="58">
        <s:f>B23/20*10</s:f>
        <s:v>1</s:v>
      </s:c>
      <s:c r="D23" s="58">
        <s:f>C23*20%</s:f>
        <s:v>0.2</s:v>
      </s:c>
      <s:c r="E23" s="57" t="inlineStr">
        <s:is>
          <s:t>M7KD</s:t>
        </s:is>
      </s:c>
    </s:row>
    <s:row r="24" ht="24" customHeight="1">
      <s:c r="A24" s="53" t="inlineStr">
        <s:is>
          <s:t>223</s:t>
        </s:is>
      </s:c>
      <s:c r="B24" s="54" t="n">
        <s:v>16</s:v>
      </s:c>
      <s:c r="C24" s="55">
        <s:f>B24/20*10</s:f>
        <s:v>8</s:v>
      </s:c>
      <s:c r="D24" s="55">
        <s:f>C24*20%</s:f>
        <s:v>1.6</s:v>
      </s:c>
      <s:c r="E24" s="54" t="inlineStr">
        <s:is>
          <s:t>M2HF</s:t>
        </s:is>
      </s:c>
    </s:row>
    <s:row r="25" ht="24" customHeight="1">
      <s:c r="A25" s="56" t="inlineStr">
        <s:is>
          <s:t>224</s:t>
        </s:is>
      </s:c>
      <s:c r="B25" s="57" t="n">
        <s:v>16</s:v>
      </s:c>
      <s:c r="C25" s="58">
        <s:f>B25/20*10</s:f>
        <s:v>8</s:v>
      </s:c>
      <s:c r="D25" s="58">
        <s:f>C25*20%</s:f>
        <s:v>1.6</s:v>
      </s:c>
      <s:c r="E25" s="57" t="inlineStr">
        <s:is>
          <s:t>M3RX</s:t>
        </s:is>
      </s:c>
    </s:row>
    <s:row r="26" ht="24" customHeight="1">
      <s:c r="A26" s="53" t="inlineStr">
        <s:is>
          <s:t>225</s:t>
        </s:is>
      </s:c>
      <s:c r="B26" s="54" t="n">
        <s:v>19</s:v>
      </s:c>
      <s:c r="C26" s="55">
        <s:f>B26/20*10</s:f>
        <s:v>9.5</s:v>
      </s:c>
      <s:c r="D26" s="55">
        <s:f>C26*20%</s:f>
        <s:v>1.9</s:v>
      </s:c>
      <s:c r="E26" s="54" t="inlineStr">
        <s:is>
          <s:t>M8VN</s:t>
        </s:is>
      </s:c>
    </s:row>
    <s:row r="27" ht="24" customHeight="1">
      <s:c r="A27" s="56" t="inlineStr">
        <s:is>
          <s:t>226</s:t>
        </s:is>
      </s:c>
      <s:c r="B27" s="57" t="n">
        <s:v>16</s:v>
      </s:c>
      <s:c r="C27" s="58">
        <s:f>B27/20*10</s:f>
        <s:v>8</s:v>
      </s:c>
      <s:c r="D27" s="58">
        <s:f>C27*20%</s:f>
        <s:v>1.6</s:v>
      </s:c>
      <s:c r="E27" s="57" t="inlineStr">
        <s:is>
          <s:t>M7KD</s:t>
        </s:is>
      </s:c>
    </s:row>
    <s:row r="28" ht="24" customHeight="1">
      <s:c r="A28" s="53" t="inlineStr">
        <s:is>
          <s:t>227</s:t>
        </s:is>
      </s:c>
      <s:c r="B28" s="54" t="n">
        <s:v>10</s:v>
      </s:c>
      <s:c r="C28" s="55">
        <s:f>B28/20*10</s:f>
        <s:v>5</s:v>
      </s:c>
      <s:c r="D28" s="55">
        <s:f>C28*20%</s:f>
        <s:v>1</s:v>
      </s:c>
      <s:c r="E28" s="54" t="inlineStr">
        <s:is>
          <s:t>M6WP</s:t>
        </s:is>
      </s:c>
    </s:row>
    <s:row r="29" ht="24" customHeight="1">
      <s:c r="A29" s="56" t="inlineStr">
        <s:is>
          <s:t>228</s:t>
        </s:is>
      </s:c>
      <s:c r="B29" s="57" t="n">
        <s:v>11</s:v>
      </s:c>
      <s:c r="C29" s="58">
        <s:f>B29/20*10</s:f>
        <s:v>5.5</s:v>
      </s:c>
      <s:c r="D29" s="58">
        <s:f>C29*20%</s:f>
        <s:v>1.1</s:v>
      </s:c>
      <s:c r="E29" s="57" t="inlineStr">
        <s:is>
          <s:t>M6WP</s:t>
        </s:is>
      </s:c>
    </s:row>
    <s:row r="30" ht="24" customHeight="1">
      <s:c r="A30" s="53" t="inlineStr">
        <s:is>
          <s:t>229</s:t>
        </s:is>
      </s:c>
      <s:c r="B30" s="54" t="n">
        <s:v>13</s:v>
      </s:c>
      <s:c r="C30" s="55">
        <s:f>B30/20*10</s:f>
        <s:v>6.5</s:v>
      </s:c>
      <s:c r="D30" s="55">
        <s:f>C30*20%</s:f>
        <s:v>1.3</s:v>
      </s:c>
      <s:c r="E30" s="54" t="inlineStr">
        <s:is>
          <s:t>M8VN</s:t>
        </s:is>
      </s:c>
    </s:row>
    <s:row r="31" ht="24" customHeight="1">
      <s:c r="A31" s="56" t="inlineStr">
        <s:is>
          <s:t>230</s:t>
        </s:is>
      </s:c>
      <s:c r="B31" s="57" t="n">
        <s:v>16</s:v>
      </s:c>
      <s:c r="C31" s="58">
        <s:f>B31/20*10</s:f>
        <s:v>8</s:v>
      </s:c>
      <s:c r="D31" s="58">
        <s:f>C31*20%</s:f>
        <s:v>1.6</s:v>
      </s:c>
      <s:c r="E31" s="57" t="inlineStr">
        <s:is>
          <s:t>M3RX</s:t>
        </s:is>
      </s:c>
    </s:row>
    <s:row r="32" ht="24" customHeight="1">
      <s:c r="A32" s="53" t="inlineStr">
        <s:is>
          <s:t>232</s:t>
        </s:is>
      </s:c>
      <s:c r="B32" s="54" t="n">
        <s:v>14</s:v>
      </s:c>
      <s:c r="C32" s="55">
        <s:f>B32/20*10</s:f>
        <s:v>7</s:v>
      </s:c>
      <s:c r="D32" s="55">
        <s:f>C32*20%</s:f>
        <s:v>1.4</s:v>
      </s:c>
      <s:c r="E32" s="54" t="inlineStr">
        <s:is>
          <s:t>M2HF</s:t>
        </s:is>
      </s:c>
    </s:row>
    <s:row r="33" ht="24" customHeight="1">
      <s:c r="A33" s="56" t="inlineStr">
        <s:is>
          <s:t>233</s:t>
        </s:is>
      </s:c>
      <s:c r="B33" s="57" t="n">
        <s:v>15</s:v>
      </s:c>
      <s:c r="C33" s="58">
        <s:f>B33/20*10</s:f>
        <s:v>7.5</s:v>
      </s:c>
      <s:c r="D33" s="58">
        <s:f>C33*20%</s:f>
        <s:v>1.5</s:v>
      </s:c>
      <s:c r="E33" s="57" t="inlineStr">
        <s:is>
          <s:t>M7KD</s:t>
        </s:is>
      </s:c>
    </s:row>
    <s:row r="34" ht="24" customHeight="1">
      <s:c r="A34" s="53" t="inlineStr">
        <s:is>
          <s:t>234</s:t>
        </s:is>
      </s:c>
      <s:c r="B34" s="54" t="n">
        <s:v>9</s:v>
      </s:c>
      <s:c r="C34" s="55">
        <s:f>B34/20*10</s:f>
        <s:v>4.5</s:v>
      </s:c>
      <s:c r="D34" s="55">
        <s:f>C34*20%</s:f>
        <s:v>0.9</s:v>
      </s:c>
      <s:c r="E34" s="54" t="inlineStr">
        <s:is>
          <s:t>M6WP</s:t>
        </s:is>
      </s:c>
    </s:row>
    <s:row r="35" ht="24" customHeight="1">
      <s:c r="A35" s="56" t="inlineStr">
        <s:is>
          <s:t>235</s:t>
        </s:is>
      </s:c>
      <s:c r="B35" s="57" t="n">
        <s:v>12</s:v>
      </s:c>
      <s:c r="C35" s="58">
        <s:f>B35/20*10</s:f>
        <s:v>6</s:v>
      </s:c>
      <s:c r="D35" s="58">
        <s:f>C35*20%</s:f>
        <s:v>1.2</s:v>
      </s:c>
      <s:c r="E35" s="57" t="inlineStr">
        <s:is>
          <s:t>M3RX</s:t>
        </s:is>
      </s:c>
    </s:row>
    <s:row r="36" ht="24" customHeight="1">
      <s:c r="A36" s="53" t="inlineStr">
        <s:is>
          <s:t>236</s:t>
        </s:is>
      </s:c>
      <s:c r="B36" s="54" t="n">
        <s:v>10</s:v>
      </s:c>
      <s:c r="C36" s="55">
        <s:f>B36/20*10</s:f>
        <s:v>5</s:v>
      </s:c>
      <s:c r="D36" s="55">
        <s:f>C36*20%</s:f>
        <s:v>1</s:v>
      </s:c>
      <s:c r="E36" s="54" t="inlineStr">
        <s:is>
          <s:t>M2HF</s:t>
        </s:is>
      </s:c>
    </s:row>
    <s:row r="37" ht="24" customHeight="1">
      <s:c r="A37" s="56" t="inlineStr">
        <s:is>
          <s:t>237</s:t>
        </s:is>
      </s:c>
      <s:c r="B37" s="57" t="n">
        <s:v>10</s:v>
      </s:c>
      <s:c r="C37" s="58">
        <s:f>B37/20*10</s:f>
        <s:v>5</s:v>
      </s:c>
      <s:c r="D37" s="58">
        <s:f>C37*20%</s:f>
        <s:v>1</s:v>
      </s:c>
      <s:c r="E37" s="57" t="inlineStr">
        <s:is>
          <s:t>M7KD</s:t>
        </s:is>
      </s:c>
    </s:row>
    <s:row r="38" ht="24" customHeight="1">
      <s:c r="A38" s="53" t="inlineStr">
        <s:is>
          <s:t>238</s:t>
        </s:is>
      </s:c>
      <s:c r="B38" s="54" t="n">
        <s:v>20</s:v>
      </s:c>
      <s:c r="C38" s="55">
        <s:f>B38/20*10</s:f>
        <s:v>10</s:v>
      </s:c>
      <s:c r="D38" s="55">
        <s:f>C38*20%</s:f>
        <s:v>2</s:v>
      </s:c>
      <s:c r="E38" s="54" t="inlineStr">
        <s:is>
          <s:t>M2HF</s:t>
        </s:is>
      </s:c>
    </s:row>
    <s:row r="39" ht="24" customHeight="1">
      <s:c r="A39" s="56" t="inlineStr">
        <s:is>
          <s:t>239</s:t>
        </s:is>
      </s:c>
      <s:c r="B39" s="57" t="n">
        <s:v>12</s:v>
      </s:c>
      <s:c r="C39" s="58">
        <s:f>B39/20*10</s:f>
        <s:v>6</s:v>
      </s:c>
      <s:c r="D39" s="58">
        <s:f>C39*20%</s:f>
        <s:v>1.2</s:v>
      </s:c>
      <s:c r="E39" s="57" t="inlineStr">
        <s:is>
          <s:t>M8VN</s:t>
        </s:is>
      </s:c>
    </s:row>
    <s:row r="40" ht="24" customHeight="1">
      <s:c r="A40" s="53" t="inlineStr">
        <s:is>
          <s:t>240</s:t>
        </s:is>
      </s:c>
      <s:c r="B40" s="54" t="n">
        <s:v>6</s:v>
      </s:c>
      <s:c r="C40" s="55">
        <s:f>B40/20*10</s:f>
        <s:v>3</s:v>
      </s:c>
      <s:c r="D40" s="55">
        <s:f>C40*20%</s:f>
        <s:v>0.6</s:v>
      </s:c>
      <s:c r="E40" s="54" t="inlineStr">
        <s:is>
          <s:t>M2HF</s:t>
        </s:is>
      </s:c>
    </s:row>
    <s:row r="43" ht="30" customHeight="1">
      <s:c r="A43" s="50" t="inlineStr">
        <s:is>
          <s:t>Midterm: one point per correct answer; incorrect, blank and unresolved multiple answers score zero. Maximum 20 raw points.</s:t>
        </s:is>
      </s:c>
    </s:row>
    <s:row r="44" ht="30" customHeight="1">
      <s:c r="A44" s="51" t="inlineStr">
        <s:is>
          <s:t>Grade / 10 = raw points ÷ 20 × 10. The midterm contributes 20% of the course grade, at most 2 course points.</s:t>
        </s:is>
      </s:c>
    </s:row>
  </s:sheetData>
  <s:autoFilter ref="A1:E40"/>
  <s:mergeCells count="2">
    <s:mergeCell ref="A44:E44"/>
    <s:mergeCell ref="A43:E43"/>
  </s:mergeCells>
  <s:pageMargins left="0.75" right="0.75" top="1" bottom="1" header="0.5" footer="0.5"/>
  <s:pageSetup orientation="landscape" paperSize="9" fitToHeight="0" fitToWidth="1"/>
  <s:legacyDrawing r:id="anysvml"/>
</s:worksheet>
</file>

<file path=xl/worksheets/sheet6.xml><?xml version="1.0" encoding="utf-8"?>
<s:worksheet xmlns:s="http://schemas.openxmlformats.org/spreadsheetml/2006/main">
  <s:sheetPr>
    <s:outlinePr summaryBelow="1" summaryRight="1"/>
    <s:pageSetUpPr fitToPage="1"/>
  </s:sheetPr>
  <s:dimension ref="A1:M53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14" customWidth="1" min="1" max="1"/>
    <s:col width="13" customWidth="1" min="2" max="2"/>
    <s:col width="13" customWidth="1" min="3" max="3"/>
    <s:col width="13" customWidth="1" min="4" max="4"/>
    <s:col width="13" customWidth="1" min="5" max="5"/>
    <s:col width="15" customWidth="1" min="6" max="6"/>
    <s:col width="22" customWidth="1" min="7" max="7"/>
    <s:col width="22" customWidth="1" min="8" max="8"/>
    <s:col width="25" customWidth="1" min="9" max="9"/>
    <s:col width="25" customWidth="1" min="10" max="10"/>
    <s:col width="25" customWidth="1" min="11" max="11"/>
    <s:col width="25" customWidth="1" min="12" max="12"/>
    <s:col width="52" customWidth="1" min="13" max="13"/>
  </s:cols>
  <s:sheetData>
    <s:row r="1" ht="42" customHeight="1">
      <s:c r="A1" s="52" t="inlineStr">
        <s:is>
          <s:t>Student ID</s:t>
        </s:is>
      </s:c>
      <s:c r="B1" s="52" t="inlineStr">
        <s:is>
          <s:t>Quiz 1 / 10</s:t>
        </s:is>
      </s:c>
      <s:c r="C1" s="52" t="inlineStr">
        <s:is>
          <s:t>Quiz 2 / 10</s:t>
        </s:is>
      </s:c>
      <s:c r="D1" s="52" t="inlineStr">
        <s:is>
          <s:t>Quiz 3 / 10</s:t>
        </s:is>
      </s:c>
      <s:c r="E1" s="52" t="inlineStr">
        <s:is>
          <s:t>Quiz 4 / 10</s:t>
        </s:is>
      </s:c>
      <s:c r="F1" s="52" t="inlineStr">
        <s:is>
          <s:t>Midterm / 10</s:t>
        </s:is>
      </s:c>
      <s:c r="G1" s="52" t="inlineStr">
        <s:is>
          <s:t>Quizzes: course points / 3</s:t>
        </s:is>
      </s:c>
      <s:c r="H1" s="52" t="inlineStr">
        <s:is>
          <s:t>Midterm: course points / 2</s:t>
        </s:is>
      </s:c>
      <s:c r="I1" s="52" t="inlineStr">
        <s:is>
          <s:t>Swapnil: course points / 5</s:t>
        </s:is>
      </s:c>
      <s:c r="J1" s="52" t="inlineStr">
        <s:is>
          <s:t>Swapnil: normalized grade / 10</s:t>
        </s:is>
      </s:c>
      <s:c r="K1" s="52" t="inlineStr">
        <s:is>
          <s:t>Other instructor: grade / 10</s:t>
        </s:is>
      </s:c>
      <s:c r="L1" s="52" t="inlineStr">
        <s:is>
          <s:t>Final course grade / 10</s:t>
        </s:is>
      </s:c>
      <s:c r="M1" s="52" t="inlineStr">
        <s:is>
          <s:t>Record status</s:t>
        </s:is>
      </s:c>
    </s:row>
    <s:row r="2" ht="32" customHeight="1">
      <s:c r="A2" s="53" t="inlineStr">
        <s:is>
          <s:t>200</s:t>
        </s:is>
      </s:c>
      <s:c r="B2" s="55">
        <s:f>_xlfn.MAXIFS('Quiz 1'!$H$2:$H$42,'Quiz 1'!$A$2:$A$42,$A2)</s:f>
        <s:v>10</s:v>
      </s:c>
      <s:c r="C2" s="55">
        <s:f>_xlfn.MAXIFS('Quiz 2'!$H$2:$H$37,'Quiz 2'!$A$2:$A$37,$A2)</s:f>
        <s:v>6.66666666666667</s:v>
      </s:c>
      <s:c r="D2" s="55">
        <s:f>_xlfn.MAXIFS('Quiz 3'!$H$2:$H$35,'Quiz 3'!$A$2:$A$35,$A2)</s:f>
        <s:v>10</s:v>
      </s:c>
      <s:c r="E2" s="55">
        <s:f>_xlfn.MAXIFS('Quiz 4'!$H$2:$H$37,'Quiz 4'!$A$2:$A$37,$A2)</s:f>
        <s:v>6.66666666666667</s:v>
      </s:c>
      <s:c r="F2" s="55">
        <s:f>SUMIF(Midterm!$A$2:$A$40,$A2,Midterm!$C$2:$C$40)</s:f>
        <s:v>7.5</s:v>
      </s:c>
      <s:c r="G2" s="55">
        <s:f>SUM(B2:E2)*7.5%</s:f>
        <s:v>2.5</s:v>
      </s:c>
      <s:c r="H2" s="55">
        <s:f>F2*20%</s:f>
        <s:v>1.5</s:v>
      </s:c>
      <s:c r="I2" s="59">
        <s:f>G2+H2</s:f>
        <s:v>4</s:v>
      </s:c>
      <s:c r="J2" s="55">
        <s:f>I2/50%</s:f>
        <s:v>8</s:v>
      </s:c>
      <s:c r="K2" s="60" t="n"/>
      <s:c r="L2" s="59" t="str">
        <s:f>IF(ISNUMBER(K2),I2+K2*50%,"")</s:f>
        <s:v/>
      </s:c>
      <s:c r="M2" s="61" t="str">
        <s:f>IF(ISNUMBER(K2),"Complete","Other instructor pending")&amp;""</s:f>
        <s:v>Other instructor pending</s:v>
      </s:c>
    </s:row>
    <s:row r="3" ht="32" customHeight="1">
      <s:c r="A3" s="56" t="inlineStr">
        <s:is>
          <s:t>201</s:t>
        </s:is>
      </s:c>
      <s:c r="B3" s="58">
        <s:f>_xlfn.MAXIFS('Quiz 1'!$H$2:$H$42,'Quiz 1'!$A$2:$A$42,$A3)</s:f>
        <s:v>10</s:v>
      </s:c>
      <s:c r="C3" s="58">
        <s:f>_xlfn.MAXIFS('Quiz 2'!$H$2:$H$37,'Quiz 2'!$A$2:$A$37,$A3)</s:f>
        <s:v>10</s:v>
      </s:c>
      <s:c r="D3" s="58">
        <s:f>_xlfn.MAXIFS('Quiz 3'!$H$2:$H$35,'Quiz 3'!$A$2:$A$35,$A3)</s:f>
        <s:v>6.66666666666667</s:v>
      </s:c>
      <s:c r="E3" s="58">
        <s:f>_xlfn.MAXIFS('Quiz 4'!$H$2:$H$37,'Quiz 4'!$A$2:$A$37,$A3)</s:f>
        <s:v>6.66666666666667</s:v>
      </s:c>
      <s:c r="F3" s="58">
        <s:f>SUMIF(Midterm!$A$2:$A$40,$A3,Midterm!$C$2:$C$40)</s:f>
        <s:v>7</s:v>
      </s:c>
      <s:c r="G3" s="58">
        <s:f>SUM(B3:E3)*7.5%</s:f>
        <s:v>2.5</s:v>
      </s:c>
      <s:c r="H3" s="58">
        <s:f>F3*20%</s:f>
        <s:v>1.4</s:v>
      </s:c>
      <s:c r="I3" s="59">
        <s:f>G3+H3</s:f>
        <s:v>3.9</s:v>
      </s:c>
      <s:c r="J3" s="58">
        <s:f>I3/50%</s:f>
        <s:v>7.8</s:v>
      </s:c>
      <s:c r="K3" s="60" t="n"/>
      <s:c r="L3" s="59" t="str">
        <s:f>IF(ISNUMBER(K3),I3+K3*50%,"")</s:f>
        <s:v/>
      </s:c>
      <s:c r="M3" s="62" t="str">
        <s:f>IF(ISNUMBER(K3),"Complete","Other instructor pending")&amp;""</s:f>
        <s:v>Other instructor pending</s:v>
      </s:c>
    </s:row>
    <s:row r="4" ht="32" customHeight="1">
      <s:c r="A4" s="53" t="inlineStr">
        <s:is>
          <s:t>202</s:t>
        </s:is>
      </s:c>
      <s:c r="B4" s="55">
        <s:f>_xlfn.MAXIFS('Quiz 1'!$H$2:$H$42,'Quiz 1'!$A$2:$A$42,$A4)</s:f>
        <s:v>10</s:v>
      </s:c>
      <s:c r="C4" s="55">
        <s:f>_xlfn.MAXIFS('Quiz 2'!$H$2:$H$37,'Quiz 2'!$A$2:$A$37,$A4)</s:f>
        <s:v>6.66666666666667</s:v>
      </s:c>
      <s:c r="D4" s="55">
        <s:f>_xlfn.MAXIFS('Quiz 3'!$H$2:$H$35,'Quiz 3'!$A$2:$A$35,$A4)</s:f>
        <s:v>6.66666666666667</s:v>
      </s:c>
      <s:c r="E4" s="55">
        <s:f>_xlfn.MAXIFS('Quiz 4'!$H$2:$H$37,'Quiz 4'!$A$2:$A$37,$A4)</s:f>
        <s:v>6.66666666666667</s:v>
      </s:c>
      <s:c r="F4" s="55">
        <s:f>SUMIF(Midterm!$A$2:$A$40,$A4,Midterm!$C$2:$C$40)</s:f>
        <s:v>9.5</s:v>
      </s:c>
      <s:c r="G4" s="55">
        <s:f>SUM(B4:E4)*7.5%</s:f>
        <s:v>2.25</s:v>
      </s:c>
      <s:c r="H4" s="55">
        <s:f>F4*20%</s:f>
        <s:v>1.9</s:v>
      </s:c>
      <s:c r="I4" s="59">
        <s:f>G4+H4</s:f>
        <s:v>4.15</s:v>
      </s:c>
      <s:c r="J4" s="55">
        <s:f>I4/50%</s:f>
        <s:v>8.3</s:v>
      </s:c>
      <s:c r="K4" s="60" t="n"/>
      <s:c r="L4" s="59" t="str">
        <s:f>IF(ISNUMBER(K4),I4+K4*50%,"")</s:f>
        <s:v/>
      </s:c>
      <s:c r="M4" s="61" t="str">
        <s:f>IF(ISNUMBER(K4),"Complete","Other instructor pending")&amp;""</s:f>
        <s:v>Other instructor pending</s:v>
      </s:c>
    </s:row>
    <s:row r="5" ht="32" customHeight="1">
      <s:c r="A5" s="56" t="inlineStr">
        <s:is>
          <s:t>203</s:t>
        </s:is>
      </s:c>
      <s:c r="B5" s="58">
        <s:f>_xlfn.MAXIFS('Quiz 1'!$H$2:$H$42,'Quiz 1'!$A$2:$A$42,$A5)</s:f>
        <s:v>10</s:v>
      </s:c>
      <s:c r="C5" s="58">
        <s:f>_xlfn.MAXIFS('Quiz 2'!$H$2:$H$37,'Quiz 2'!$A$2:$A$37,$A5)</s:f>
        <s:v>10</s:v>
      </s:c>
      <s:c r="D5" s="58">
        <s:f>_xlfn.MAXIFS('Quiz 3'!$H$2:$H$35,'Quiz 3'!$A$2:$A$35,$A5)</s:f>
        <s:v>10</s:v>
      </s:c>
      <s:c r="E5" s="58">
        <s:f>_xlfn.MAXIFS('Quiz 4'!$H$2:$H$37,'Quiz 4'!$A$2:$A$37,$A5)</s:f>
        <s:v>10</s:v>
      </s:c>
      <s:c r="F5" s="58">
        <s:f>SUMIF(Midterm!$A$2:$A$40,$A5,Midterm!$C$2:$C$40)</s:f>
        <s:v>8.5</s:v>
      </s:c>
      <s:c r="G5" s="58">
        <s:f>SUM(B5:E5)*7.5%</s:f>
        <s:v>3</s:v>
      </s:c>
      <s:c r="H5" s="58">
        <s:f>F5*20%</s:f>
        <s:v>1.7</s:v>
      </s:c>
      <s:c r="I5" s="59">
        <s:f>G5+H5</s:f>
        <s:v>4.7</s:v>
      </s:c>
      <s:c r="J5" s="58">
        <s:f>I5/50%</s:f>
        <s:v>9.4</s:v>
      </s:c>
      <s:c r="K5" s="60" t="n"/>
      <s:c r="L5" s="59" t="str">
        <s:f>IF(ISNUMBER(K5),I5+K5*50%,"")</s:f>
        <s:v/>
      </s:c>
      <s:c r="M5" s="62" t="str">
        <s:f>IF(ISNUMBER(K5),"Complete","Other instructor pending")&amp;""</s:f>
        <s:v>Other instructor pending</s:v>
      </s:c>
    </s:row>
    <s:row r="6" ht="32" customHeight="1">
      <s:c r="A6" s="53" t="inlineStr">
        <s:is>
          <s:t>204</s:t>
        </s:is>
      </s:c>
      <s:c r="B6" s="55">
        <s:f>_xlfn.MAXIFS('Quiz 1'!$H$2:$H$42,'Quiz 1'!$A$2:$A$42,$A6)</s:f>
        <s:v>10</s:v>
      </s:c>
      <s:c r="C6" s="55">
        <s:f>_xlfn.MAXIFS('Quiz 2'!$H$2:$H$37,'Quiz 2'!$A$2:$A$37,$A6)</s:f>
        <s:v>10</s:v>
      </s:c>
      <s:c r="D6" s="55">
        <s:f>_xlfn.MAXIFS('Quiz 3'!$H$2:$H$35,'Quiz 3'!$A$2:$A$35,$A6)</s:f>
        <s:v>10</s:v>
      </s:c>
      <s:c r="E6" s="55">
        <s:f>_xlfn.MAXIFS('Quiz 4'!$H$2:$H$37,'Quiz 4'!$A$2:$A$37,$A6)</s:f>
        <s:v>6.66666666666667</s:v>
      </s:c>
      <s:c r="F6" s="55">
        <s:f>SUMIF(Midterm!$A$2:$A$40,$A6,Midterm!$C$2:$C$40)</s:f>
        <s:v>9.5</s:v>
      </s:c>
      <s:c r="G6" s="55">
        <s:f>SUM(B6:E6)*7.5%</s:f>
        <s:v>2.75</s:v>
      </s:c>
      <s:c r="H6" s="55">
        <s:f>F6*20%</s:f>
        <s:v>1.9</s:v>
      </s:c>
      <s:c r="I6" s="59">
        <s:f>G6+H6</s:f>
        <s:v>4.65</s:v>
      </s:c>
      <s:c r="J6" s="55">
        <s:f>I6/50%</s:f>
        <s:v>9.3</s:v>
      </s:c>
      <s:c r="K6" s="60" t="n"/>
      <s:c r="L6" s="59" t="str">
        <s:f>IF(ISNUMBER(K6),I6+K6*50%,"")</s:f>
        <s:v/>
      </s:c>
      <s:c r="M6" s="61" t="str">
        <s:f>IF(ISNUMBER(K6),"Complete","Other instructor pending")&amp;""</s:f>
        <s:v>Other instructor pending</s:v>
      </s:c>
    </s:row>
    <s:row r="7" ht="32" customHeight="1">
      <s:c r="A7" s="56" t="inlineStr">
        <s:is>
          <s:t>205</s:t>
        </s:is>
      </s:c>
      <s:c r="B7" s="58">
        <s:f>_xlfn.MAXIFS('Quiz 1'!$H$2:$H$42,'Quiz 1'!$A$2:$A$42,$A7)</s:f>
        <s:v>10</s:v>
      </s:c>
      <s:c r="C7" s="58">
        <s:f>_xlfn.MAXIFS('Quiz 2'!$H$2:$H$37,'Quiz 2'!$A$2:$A$37,$A7)</s:f>
        <s:v>0</s:v>
      </s:c>
      <s:c r="D7" s="58">
        <s:f>_xlfn.MAXIFS('Quiz 3'!$H$2:$H$35,'Quiz 3'!$A$2:$A$35,$A7)</s:f>
        <s:v>0</s:v>
      </s:c>
      <s:c r="E7" s="58">
        <s:f>_xlfn.MAXIFS('Quiz 4'!$H$2:$H$37,'Quiz 4'!$A$2:$A$37,$A7)</s:f>
        <s:v>6.66666666666667</s:v>
      </s:c>
      <s:c r="F7" s="58">
        <s:f>SUMIF(Midterm!$A$2:$A$40,$A7,Midterm!$C$2:$C$40)</s:f>
        <s:v>8</s:v>
      </s:c>
      <s:c r="G7" s="58">
        <s:f>SUM(B7:E7)*7.5%</s:f>
        <s:v>1.25</s:v>
      </s:c>
      <s:c r="H7" s="58">
        <s:f>F7*20%</s:f>
        <s:v>1.6</s:v>
      </s:c>
      <s:c r="I7" s="59">
        <s:f>G7+H7</s:f>
        <s:v>2.85</s:v>
      </s:c>
      <s:c r="J7" s="58">
        <s:f>I7/50%</s:f>
        <s:v>5.7</s:v>
      </s:c>
      <s:c r="K7" s="60" t="n"/>
      <s:c r="L7" s="59" t="str">
        <s:f>IF(ISNUMBER(K7),I7+K7*50%,"")</s:f>
        <s:v/>
      </s:c>
      <s:c r="M7" s="62" t="str">
        <s:f>IF(ISNUMBER(K7),"Complete","Other instructor pending")&amp;"; no record: Quiz 2, Quiz 3"</s:f>
        <s:v>Other instructor pending; no record: Quiz 2, Quiz 3</s:v>
      </s:c>
    </s:row>
    <s:row r="8" ht="32" customHeight="1">
      <s:c r="A8" s="53" t="inlineStr">
        <s:is>
          <s:t>206</s:t>
        </s:is>
      </s:c>
      <s:c r="B8" s="55">
        <s:f>_xlfn.MAXIFS('Quiz 1'!$H$2:$H$42,'Quiz 1'!$A$2:$A$42,$A8)</s:f>
        <s:v>6.66666666666667</s:v>
      </s:c>
      <s:c r="C8" s="55">
        <s:f>_xlfn.MAXIFS('Quiz 2'!$H$2:$H$37,'Quiz 2'!$A$2:$A$37,$A8)</s:f>
        <s:v>6.66666666666667</s:v>
      </s:c>
      <s:c r="D8" s="55">
        <s:f>_xlfn.MAXIFS('Quiz 3'!$H$2:$H$35,'Quiz 3'!$A$2:$A$35,$A8)</s:f>
        <s:v>6.66666666666667</s:v>
      </s:c>
      <s:c r="E8" s="55">
        <s:f>_xlfn.MAXIFS('Quiz 4'!$H$2:$H$37,'Quiz 4'!$A$2:$A$37,$A8)</s:f>
        <s:v>10</s:v>
      </s:c>
      <s:c r="F8" s="55">
        <s:f>SUMIF(Midterm!$A$2:$A$40,$A8,Midterm!$C$2:$C$40)</s:f>
        <s:v>8</s:v>
      </s:c>
      <s:c r="G8" s="55">
        <s:f>SUM(B8:E8)*7.5%</s:f>
        <s:v>2.25</s:v>
      </s:c>
      <s:c r="H8" s="55">
        <s:f>F8*20%</s:f>
        <s:v>1.6</s:v>
      </s:c>
      <s:c r="I8" s="59">
        <s:f>G8+H8</s:f>
        <s:v>3.85</s:v>
      </s:c>
      <s:c r="J8" s="55">
        <s:f>I8/50%</s:f>
        <s:v>7.7</s:v>
      </s:c>
      <s:c r="K8" s="60" t="n"/>
      <s:c r="L8" s="59" t="str">
        <s:f>IF(ISNUMBER(K8),I8+K8*50%,"")</s:f>
        <s:v/>
      </s:c>
      <s:c r="M8" s="61" t="str">
        <s:f>IF(ISNUMBER(K8),"Complete","Other instructor pending")&amp;""</s:f>
        <s:v>Other instructor pending</s:v>
      </s:c>
    </s:row>
    <s:row r="9" ht="32" customHeight="1">
      <s:c r="A9" s="56" t="inlineStr">
        <s:is>
          <s:t>207</s:t>
        </s:is>
      </s:c>
      <s:c r="B9" s="58">
        <s:f>_xlfn.MAXIFS('Quiz 1'!$H$2:$H$42,'Quiz 1'!$A$2:$A$42,$A9)</s:f>
        <s:v>10</s:v>
      </s:c>
      <s:c r="C9" s="58">
        <s:f>_xlfn.MAXIFS('Quiz 2'!$H$2:$H$37,'Quiz 2'!$A$2:$A$37,$A9)</s:f>
        <s:v>6.66666666666667</s:v>
      </s:c>
      <s:c r="D9" s="58">
        <s:f>_xlfn.MAXIFS('Quiz 3'!$H$2:$H$35,'Quiz 3'!$A$2:$A$35,$A9)</s:f>
        <s:v>10</s:v>
      </s:c>
      <s:c r="E9" s="58">
        <s:f>_xlfn.MAXIFS('Quiz 4'!$H$2:$H$37,'Quiz 4'!$A$2:$A$37,$A9)</s:f>
        <s:v>10</s:v>
      </s:c>
      <s:c r="F9" s="58">
        <s:f>SUMIF(Midterm!$A$2:$A$40,$A9,Midterm!$C$2:$C$40)</s:f>
        <s:v>8</s:v>
      </s:c>
      <s:c r="G9" s="58">
        <s:f>SUM(B9:E9)*7.5%</s:f>
        <s:v>2.75</s:v>
      </s:c>
      <s:c r="H9" s="58">
        <s:f>F9*20%</s:f>
        <s:v>1.6</s:v>
      </s:c>
      <s:c r="I9" s="59">
        <s:f>G9+H9</s:f>
        <s:v>4.35</s:v>
      </s:c>
      <s:c r="J9" s="58">
        <s:f>I9/50%</s:f>
        <s:v>8.7</s:v>
      </s:c>
      <s:c r="K9" s="60" t="n"/>
      <s:c r="L9" s="59" t="str">
        <s:f>IF(ISNUMBER(K9),I9+K9*50%,"")</s:f>
        <s:v/>
      </s:c>
      <s:c r="M9" s="62" t="str">
        <s:f>IF(ISNUMBER(K9),"Complete","Other instructor pending")&amp;""</s:f>
        <s:v>Other instructor pending</s:v>
      </s:c>
    </s:row>
    <s:row r="10" ht="32" customHeight="1">
      <s:c r="A10" s="53" t="inlineStr">
        <s:is>
          <s:t>208</s:t>
        </s:is>
      </s:c>
      <s:c r="B10" s="55">
        <s:f>_xlfn.MAXIFS('Quiz 1'!$H$2:$H$42,'Quiz 1'!$A$2:$A$42,$A10)</s:f>
        <s:v>10</s:v>
      </s:c>
      <s:c r="C10" s="55">
        <s:f>_xlfn.MAXIFS('Quiz 2'!$H$2:$H$37,'Quiz 2'!$A$2:$A$37,$A10)</s:f>
        <s:v>6.66666666666667</s:v>
      </s:c>
      <s:c r="D10" s="55">
        <s:f>_xlfn.MAXIFS('Quiz 3'!$H$2:$H$35,'Quiz 3'!$A$2:$A$35,$A10)</s:f>
        <s:v>0</s:v>
      </s:c>
      <s:c r="E10" s="55">
        <s:f>_xlfn.MAXIFS('Quiz 4'!$H$2:$H$37,'Quiz 4'!$A$2:$A$37,$A10)</s:f>
        <s:v>6.66666666666667</s:v>
      </s:c>
      <s:c r="F10" s="55">
        <s:f>SUMIF(Midterm!$A$2:$A$40,$A10,Midterm!$C$2:$C$40)</s:f>
        <s:v>6.5</s:v>
      </s:c>
      <s:c r="G10" s="55">
        <s:f>SUM(B10:E10)*7.5%</s:f>
        <s:v>1.75</s:v>
      </s:c>
      <s:c r="H10" s="55">
        <s:f>F10*20%</s:f>
        <s:v>1.3</s:v>
      </s:c>
      <s:c r="I10" s="59">
        <s:f>G10+H10</s:f>
        <s:v>3.05</s:v>
      </s:c>
      <s:c r="J10" s="55">
        <s:f>I10/50%</s:f>
        <s:v>6.1</s:v>
      </s:c>
      <s:c r="K10" s="60" t="n"/>
      <s:c r="L10" s="59" t="str">
        <s:f>IF(ISNUMBER(K10),I10+K10*50%,"")</s:f>
        <s:v/>
      </s:c>
      <s:c r="M10" s="61" t="str">
        <s:f>IF(ISNUMBER(K10),"Complete","Other instructor pending")&amp;""</s:f>
        <s:v>Other instructor pending</s:v>
      </s:c>
    </s:row>
    <s:row r="11" ht="32" customHeight="1">
      <s:c r="A11" s="56" t="inlineStr">
        <s:is>
          <s:t>209</s:t>
        </s:is>
      </s:c>
      <s:c r="B11" s="58">
        <s:f>_xlfn.MAXIFS('Quiz 1'!$H$2:$H$42,'Quiz 1'!$A$2:$A$42,$A11)</s:f>
        <s:v>6.66666666666667</s:v>
      </s:c>
      <s:c r="C11" s="58">
        <s:f>_xlfn.MAXIFS('Quiz 2'!$H$2:$H$37,'Quiz 2'!$A$2:$A$37,$A11)</s:f>
        <s:v>10</s:v>
      </s:c>
      <s:c r="D11" s="58">
        <s:f>_xlfn.MAXIFS('Quiz 3'!$H$2:$H$35,'Quiz 3'!$A$2:$A$35,$A11)</s:f>
        <s:v>3.33333333333333</s:v>
      </s:c>
      <s:c r="E11" s="58">
        <s:f>_xlfn.MAXIFS('Quiz 4'!$H$2:$H$37,'Quiz 4'!$A$2:$A$37,$A11)</s:f>
        <s:v>6.66666666666667</s:v>
      </s:c>
      <s:c r="F11" s="58">
        <s:f>SUMIF(Midterm!$A$2:$A$40,$A11,Midterm!$C$2:$C$40)</s:f>
        <s:v>5.5</s:v>
      </s:c>
      <s:c r="G11" s="58">
        <s:f>SUM(B11:E11)*7.5%</s:f>
        <s:v>2</s:v>
      </s:c>
      <s:c r="H11" s="58">
        <s:f>F11*20%</s:f>
        <s:v>1.1</s:v>
      </s:c>
      <s:c r="I11" s="59">
        <s:f>G11+H11</s:f>
        <s:v>3.1</s:v>
      </s:c>
      <s:c r="J11" s="58">
        <s:f>I11/50%</s:f>
        <s:v>6.2</s:v>
      </s:c>
      <s:c r="K11" s="60" t="n"/>
      <s:c r="L11" s="59" t="str">
        <s:f>IF(ISNUMBER(K11),I11+K11*50%,"")</s:f>
        <s:v/>
      </s:c>
      <s:c r="M11" s="62" t="str">
        <s:f>IF(ISNUMBER(K11),"Complete","Other instructor pending")&amp;""</s:f>
        <s:v>Other instructor pending</s:v>
      </s:c>
    </s:row>
    <s:row r="12" ht="32" customHeight="1">
      <s:c r="A12" s="53" t="inlineStr">
        <s:is>
          <s:t>210</s:t>
        </s:is>
      </s:c>
      <s:c r="B12" s="55">
        <s:f>_xlfn.MAXIFS('Quiz 1'!$H$2:$H$42,'Quiz 1'!$A$2:$A$42,$A12)</s:f>
        <s:v>6.66666666666667</s:v>
      </s:c>
      <s:c r="C12" s="55">
        <s:f>_xlfn.MAXIFS('Quiz 2'!$H$2:$H$37,'Quiz 2'!$A$2:$A$37,$A12)</s:f>
        <s:v>6.66666666666667</s:v>
      </s:c>
      <s:c r="D12" s="55">
        <s:f>_xlfn.MAXIFS('Quiz 3'!$H$2:$H$35,'Quiz 3'!$A$2:$A$35,$A12)</s:f>
        <s:v>10</s:v>
      </s:c>
      <s:c r="E12" s="55">
        <s:f>_xlfn.MAXIFS('Quiz 4'!$H$2:$H$37,'Quiz 4'!$A$2:$A$37,$A12)</s:f>
        <s:v>6.66666666666667</s:v>
      </s:c>
      <s:c r="F12" s="55">
        <s:f>SUMIF(Midterm!$A$2:$A$40,$A12,Midterm!$C$2:$C$40)</s:f>
        <s:v>8.5</s:v>
      </s:c>
      <s:c r="G12" s="55">
        <s:f>SUM(B12:E12)*7.5%</s:f>
        <s:v>2.25</s:v>
      </s:c>
      <s:c r="H12" s="55">
        <s:f>F12*20%</s:f>
        <s:v>1.7</s:v>
      </s:c>
      <s:c r="I12" s="59">
        <s:f>G12+H12</s:f>
        <s:v>3.95</s:v>
      </s:c>
      <s:c r="J12" s="55">
        <s:f>I12/50%</s:f>
        <s:v>7.9</s:v>
      </s:c>
      <s:c r="K12" s="60" t="n"/>
      <s:c r="L12" s="59" t="str">
        <s:f>IF(ISNUMBER(K12),I12+K12*50%,"")</s:f>
        <s:v/>
      </s:c>
      <s:c r="M12" s="61" t="str">
        <s:f>IF(ISNUMBER(K12),"Complete","Other instructor pending")&amp;""</s:f>
        <s:v>Other instructor pending</s:v>
      </s:c>
    </s:row>
    <s:row r="13" ht="32" customHeight="1">
      <s:c r="A13" s="56" t="inlineStr">
        <s:is>
          <s:t>211</s:t>
        </s:is>
      </s:c>
      <s:c r="B13" s="58">
        <s:f>_xlfn.MAXIFS('Quiz 1'!$H$2:$H$42,'Quiz 1'!$A$2:$A$42,$A13)</s:f>
        <s:v>6.66666666666667</s:v>
      </s:c>
      <s:c r="C13" s="58">
        <s:f>_xlfn.MAXIFS('Quiz 2'!$H$2:$H$37,'Quiz 2'!$A$2:$A$37,$A13)</s:f>
        <s:v>6.66666666666667</s:v>
      </s:c>
      <s:c r="D13" s="58">
        <s:f>_xlfn.MAXIFS('Quiz 3'!$H$2:$H$35,'Quiz 3'!$A$2:$A$35,$A13)</s:f>
        <s:v>10</s:v>
      </s:c>
      <s:c r="E13" s="58">
        <s:f>_xlfn.MAXIFS('Quiz 4'!$H$2:$H$37,'Quiz 4'!$A$2:$A$37,$A13)</s:f>
        <s:v>6.66666666666667</s:v>
      </s:c>
      <s:c r="F13" s="58">
        <s:f>SUMIF(Midterm!$A$2:$A$40,$A13,Midterm!$C$2:$C$40)</s:f>
        <s:v>7.5</s:v>
      </s:c>
      <s:c r="G13" s="58">
        <s:f>SUM(B13:E13)*7.5%</s:f>
        <s:v>2.25</s:v>
      </s:c>
      <s:c r="H13" s="58">
        <s:f>F13*20%</s:f>
        <s:v>1.5</s:v>
      </s:c>
      <s:c r="I13" s="59">
        <s:f>G13+H13</s:f>
        <s:v>3.75</s:v>
      </s:c>
      <s:c r="J13" s="58">
        <s:f>I13/50%</s:f>
        <s:v>7.5</s:v>
      </s:c>
      <s:c r="K13" s="60" t="n"/>
      <s:c r="L13" s="59" t="str">
        <s:f>IF(ISNUMBER(K13),I13+K13*50%,"")</s:f>
        <s:v/>
      </s:c>
      <s:c r="M13" s="62" t="str">
        <s:f>IF(ISNUMBER(K13),"Complete","Other instructor pending")&amp;""</s:f>
        <s:v>Other instructor pending</s:v>
      </s:c>
    </s:row>
    <s:row r="14" ht="32" customHeight="1">
      <s:c r="A14" s="53" t="inlineStr">
        <s:is>
          <s:t>212</s:t>
        </s:is>
      </s:c>
      <s:c r="B14" s="55">
        <s:f>_xlfn.MAXIFS('Quiz 1'!$H$2:$H$42,'Quiz 1'!$A$2:$A$42,$A14)</s:f>
        <s:v>6.66666666666667</s:v>
      </s:c>
      <s:c r="C14" s="55">
        <s:f>_xlfn.MAXIFS('Quiz 2'!$H$2:$H$37,'Quiz 2'!$A$2:$A$37,$A14)</s:f>
        <s:v>10</s:v>
      </s:c>
      <s:c r="D14" s="55">
        <s:f>_xlfn.MAXIFS('Quiz 3'!$H$2:$H$35,'Quiz 3'!$A$2:$A$35,$A14)</s:f>
        <s:v>6.66666666666667</s:v>
      </s:c>
      <s:c r="E14" s="55">
        <s:f>_xlfn.MAXIFS('Quiz 4'!$H$2:$H$37,'Quiz 4'!$A$2:$A$37,$A14)</s:f>
        <s:v>6.66666666666667</s:v>
      </s:c>
      <s:c r="F14" s="55">
        <s:f>SUMIF(Midterm!$A$2:$A$40,$A14,Midterm!$C$2:$C$40)</s:f>
        <s:v>7.5</s:v>
      </s:c>
      <s:c r="G14" s="55">
        <s:f>SUM(B14:E14)*7.5%</s:f>
        <s:v>2.25</s:v>
      </s:c>
      <s:c r="H14" s="55">
        <s:f>F14*20%</s:f>
        <s:v>1.5</s:v>
      </s:c>
      <s:c r="I14" s="59">
        <s:f>G14+H14</s:f>
        <s:v>3.75</s:v>
      </s:c>
      <s:c r="J14" s="55">
        <s:f>I14/50%</s:f>
        <s:v>7.5</s:v>
      </s:c>
      <s:c r="K14" s="60" t="n"/>
      <s:c r="L14" s="59" t="str">
        <s:f>IF(ISNUMBER(K14),I14+K14*50%,"")</s:f>
        <s:v/>
      </s:c>
      <s:c r="M14" s="61" t="str">
        <s:f>IF(ISNUMBER(K14),"Complete","Other instructor pending")&amp;""</s:f>
        <s:v>Other instructor pending</s:v>
      </s:c>
    </s:row>
    <s:row r="15" ht="32" customHeight="1">
      <s:c r="A15" s="56" t="inlineStr">
        <s:is>
          <s:t>213</s:t>
        </s:is>
      </s:c>
      <s:c r="B15" s="58">
        <s:f>_xlfn.MAXIFS('Quiz 1'!$H$2:$H$42,'Quiz 1'!$A$2:$A$42,$A15)</s:f>
        <s:v>3.33333333333333</s:v>
      </s:c>
      <s:c r="C15" s="58">
        <s:f>_xlfn.MAXIFS('Quiz 2'!$H$2:$H$37,'Quiz 2'!$A$2:$A$37,$A15)</s:f>
        <s:v>3.33333333333333</s:v>
      </s:c>
      <s:c r="D15" s="58">
        <s:f>_xlfn.MAXIFS('Quiz 3'!$H$2:$H$35,'Quiz 3'!$A$2:$A$35,$A15)</s:f>
        <s:v>3.33333333333333</s:v>
      </s:c>
      <s:c r="E15" s="58">
        <s:f>_xlfn.MAXIFS('Quiz 4'!$H$2:$H$37,'Quiz 4'!$A$2:$A$37,$A15)</s:f>
        <s:v>3.33333333333333</s:v>
      </s:c>
      <s:c r="F15" s="58">
        <s:f>SUMIF(Midterm!$A$2:$A$40,$A15,Midterm!$C$2:$C$40)</s:f>
        <s:v>6.5</s:v>
      </s:c>
      <s:c r="G15" s="58">
        <s:f>SUM(B15:E15)*7.5%</s:f>
        <s:v>1</s:v>
      </s:c>
      <s:c r="H15" s="58">
        <s:f>F15*20%</s:f>
        <s:v>1.3</s:v>
      </s:c>
      <s:c r="I15" s="59">
        <s:f>G15+H15</s:f>
        <s:v>2.3</s:v>
      </s:c>
      <s:c r="J15" s="58">
        <s:f>I15/50%</s:f>
        <s:v>4.6</s:v>
      </s:c>
      <s:c r="K15" s="60" t="n"/>
      <s:c r="L15" s="59" t="str">
        <s:f>IF(ISNUMBER(K15),I15+K15*50%,"")</s:f>
        <s:v/>
      </s:c>
      <s:c r="M15" s="62" t="str">
        <s:f>IF(ISNUMBER(K15),"Complete","Other instructor pending")&amp;""</s:f>
        <s:v>Other instructor pending</s:v>
      </s:c>
    </s:row>
    <s:row r="16" ht="32" customHeight="1">
      <s:c r="A16" s="53" t="inlineStr">
        <s:is>
          <s:t>214</s:t>
        </s:is>
      </s:c>
      <s:c r="B16" s="55">
        <s:f>_xlfn.MAXIFS('Quiz 1'!$H$2:$H$42,'Quiz 1'!$A$2:$A$42,$A16)</s:f>
        <s:v>10</s:v>
      </s:c>
      <s:c r="C16" s="55">
        <s:f>_xlfn.MAXIFS('Quiz 2'!$H$2:$H$37,'Quiz 2'!$A$2:$A$37,$A16)</s:f>
        <s:v>10</s:v>
      </s:c>
      <s:c r="D16" s="55">
        <s:f>_xlfn.MAXIFS('Quiz 3'!$H$2:$H$35,'Quiz 3'!$A$2:$A$35,$A16)</s:f>
        <s:v>10</s:v>
      </s:c>
      <s:c r="E16" s="55">
        <s:f>_xlfn.MAXIFS('Quiz 4'!$H$2:$H$37,'Quiz 4'!$A$2:$A$37,$A16)</s:f>
        <s:v>10</s:v>
      </s:c>
      <s:c r="F16" s="55">
        <s:f>SUMIF(Midterm!$A$2:$A$40,$A16,Midterm!$C$2:$C$40)</s:f>
        <s:v>10</s:v>
      </s:c>
      <s:c r="G16" s="55">
        <s:f>SUM(B16:E16)*7.5%</s:f>
        <s:v>3</s:v>
      </s:c>
      <s:c r="H16" s="55">
        <s:f>F16*20%</s:f>
        <s:v>2</s:v>
      </s:c>
      <s:c r="I16" s="59">
        <s:f>G16+H16</s:f>
        <s:v>5</s:v>
      </s:c>
      <s:c r="J16" s="55">
        <s:f>I16/50%</s:f>
        <s:v>10</s:v>
      </s:c>
      <s:c r="K16" s="60" t="n"/>
      <s:c r="L16" s="59" t="str">
        <s:f>IF(ISNUMBER(K16),I16+K16*50%,"")</s:f>
        <s:v/>
      </s:c>
      <s:c r="M16" s="61" t="str">
        <s:f>IF(ISNUMBER(K16),"Complete","Other instructor pending")&amp;""</s:f>
        <s:v>Other instructor pending</s:v>
      </s:c>
    </s:row>
    <s:row r="17" ht="32" customHeight="1">
      <s:c r="A17" s="56" t="inlineStr">
        <s:is>
          <s:t>215</s:t>
        </s:is>
      </s:c>
      <s:c r="B17" s="58">
        <s:f>_xlfn.MAXIFS('Quiz 1'!$H$2:$H$42,'Quiz 1'!$A$2:$A$42,$A17)</s:f>
        <s:v>6.66666666666667</s:v>
      </s:c>
      <s:c r="C17" s="58">
        <s:f>_xlfn.MAXIFS('Quiz 2'!$H$2:$H$37,'Quiz 2'!$A$2:$A$37,$A17)</s:f>
        <s:v>6.66666666666667</s:v>
      </s:c>
      <s:c r="D17" s="58">
        <s:f>_xlfn.MAXIFS('Quiz 3'!$H$2:$H$35,'Quiz 3'!$A$2:$A$35,$A17)</s:f>
        <s:v>10</s:v>
      </s:c>
      <s:c r="E17" s="58">
        <s:f>_xlfn.MAXIFS('Quiz 4'!$H$2:$H$37,'Quiz 4'!$A$2:$A$37,$A17)</s:f>
        <s:v>6.66666666666667</s:v>
      </s:c>
      <s:c r="F17" s="58">
        <s:f>SUMIF(Midterm!$A$2:$A$40,$A17,Midterm!$C$2:$C$40)</s:f>
        <s:v>8</s:v>
      </s:c>
      <s:c r="G17" s="58">
        <s:f>SUM(B17:E17)*7.5%</s:f>
        <s:v>2.25</s:v>
      </s:c>
      <s:c r="H17" s="58">
        <s:f>F17*20%</s:f>
        <s:v>1.6</s:v>
      </s:c>
      <s:c r="I17" s="59">
        <s:f>G17+H17</s:f>
        <s:v>3.85</s:v>
      </s:c>
      <s:c r="J17" s="58">
        <s:f>I17/50%</s:f>
        <s:v>7.7</s:v>
      </s:c>
      <s:c r="K17" s="60" t="n"/>
      <s:c r="L17" s="59" t="str">
        <s:f>IF(ISNUMBER(K17),I17+K17*50%,"")</s:f>
        <s:v/>
      </s:c>
      <s:c r="M17" s="62" t="str">
        <s:f>IF(ISNUMBER(K17),"Complete","Other instructor pending")&amp;""</s:f>
        <s:v>Other instructor pending</s:v>
      </s:c>
    </s:row>
    <s:row r="18" ht="32" customHeight="1">
      <s:c r="A18" s="53" t="inlineStr">
        <s:is>
          <s:t>216</s:t>
        </s:is>
      </s:c>
      <s:c r="B18" s="55">
        <s:f>_xlfn.MAXIFS('Quiz 1'!$H$2:$H$42,'Quiz 1'!$A$2:$A$42,$A18)</s:f>
        <s:v>10</s:v>
      </s:c>
      <s:c r="C18" s="55">
        <s:f>_xlfn.MAXIFS('Quiz 2'!$H$2:$H$37,'Quiz 2'!$A$2:$A$37,$A18)</s:f>
        <s:v>3.33333333333333</s:v>
      </s:c>
      <s:c r="D18" s="55">
        <s:f>_xlfn.MAXIFS('Quiz 3'!$H$2:$H$35,'Quiz 3'!$A$2:$A$35,$A18)</s:f>
        <s:v>6.66666666666667</s:v>
      </s:c>
      <s:c r="E18" s="55">
        <s:f>_xlfn.MAXIFS('Quiz 4'!$H$2:$H$37,'Quiz 4'!$A$2:$A$37,$A18)</s:f>
        <s:v>0</s:v>
      </s:c>
      <s:c r="F18" s="55">
        <s:f>SUMIF(Midterm!$A$2:$A$40,$A18,Midterm!$C$2:$C$40)</s:f>
        <s:v>6</s:v>
      </s:c>
      <s:c r="G18" s="55">
        <s:f>SUM(B18:E18)*7.5%</s:f>
        <s:v>1.5</s:v>
      </s:c>
      <s:c r="H18" s="55">
        <s:f>F18*20%</s:f>
        <s:v>1.2</s:v>
      </s:c>
      <s:c r="I18" s="59">
        <s:f>G18+H18</s:f>
        <s:v>2.7</s:v>
      </s:c>
      <s:c r="J18" s="55">
        <s:f>I18/50%</s:f>
        <s:v>5.4</s:v>
      </s:c>
      <s:c r="K18" s="60" t="n"/>
      <s:c r="L18" s="59" t="str">
        <s:f>IF(ISNUMBER(K18),I18+K18*50%,"")</s:f>
        <s:v/>
      </s:c>
      <s:c r="M18" s="61" t="str">
        <s:f>IF(ISNUMBER(K18),"Complete","Other instructor pending")&amp;"; no record: Quiz 4"</s:f>
        <s:v>Other instructor pending; no record: Quiz 4</s:v>
      </s:c>
    </s:row>
    <s:row r="19" ht="32" customHeight="1">
      <s:c r="A19" s="56" t="inlineStr">
        <s:is>
          <s:t>217</s:t>
        </s:is>
      </s:c>
      <s:c r="B19" s="58">
        <s:f>_xlfn.MAXIFS('Quiz 1'!$H$2:$H$42,'Quiz 1'!$A$2:$A$42,$A19)</s:f>
        <s:v>10</s:v>
      </s:c>
      <s:c r="C19" s="58">
        <s:f>_xlfn.MAXIFS('Quiz 2'!$H$2:$H$37,'Quiz 2'!$A$2:$A$37,$A19)</s:f>
        <s:v>6.66666666666667</s:v>
      </s:c>
      <s:c r="D19" s="58">
        <s:f>_xlfn.MAXIFS('Quiz 3'!$H$2:$H$35,'Quiz 3'!$A$2:$A$35,$A19)</s:f>
        <s:v>10</s:v>
      </s:c>
      <s:c r="E19" s="58">
        <s:f>_xlfn.MAXIFS('Quiz 4'!$H$2:$H$37,'Quiz 4'!$A$2:$A$37,$A19)</s:f>
        <s:v>6.66666666666667</s:v>
      </s:c>
      <s:c r="F19" s="58">
        <s:f>SUMIF(Midterm!$A$2:$A$40,$A19,Midterm!$C$2:$C$40)</s:f>
        <s:v>8</s:v>
      </s:c>
      <s:c r="G19" s="58">
        <s:f>SUM(B19:E19)*7.5%</s:f>
        <s:v>2.5</s:v>
      </s:c>
      <s:c r="H19" s="58">
        <s:f>F19*20%</s:f>
        <s:v>1.6</s:v>
      </s:c>
      <s:c r="I19" s="59">
        <s:f>G19+H19</s:f>
        <s:v>4.1</s:v>
      </s:c>
      <s:c r="J19" s="58">
        <s:f>I19/50%</s:f>
        <s:v>8.2</s:v>
      </s:c>
      <s:c r="K19" s="60" t="n"/>
      <s:c r="L19" s="59" t="str">
        <s:f>IF(ISNUMBER(K19),I19+K19*50%,"")</s:f>
        <s:v/>
      </s:c>
      <s:c r="M19" s="62" t="str">
        <s:f>IF(ISNUMBER(K19),"Complete","Other instructor pending")&amp;""</s:f>
        <s:v>Other instructor pending</s:v>
      </s:c>
    </s:row>
    <s:row r="20" ht="32" customHeight="1">
      <s:c r="A20" s="53" t="inlineStr">
        <s:is>
          <s:t>219</s:t>
        </s:is>
      </s:c>
      <s:c r="B20" s="55">
        <s:f>_xlfn.MAXIFS('Quiz 1'!$H$2:$H$42,'Quiz 1'!$A$2:$A$42,$A20)</s:f>
        <s:v>10</s:v>
      </s:c>
      <s:c r="C20" s="55">
        <s:f>_xlfn.MAXIFS('Quiz 2'!$H$2:$H$37,'Quiz 2'!$A$2:$A$37,$A20)</s:f>
        <s:v>6.66666666666667</s:v>
      </s:c>
      <s:c r="D20" s="55">
        <s:f>_xlfn.MAXIFS('Quiz 3'!$H$2:$H$35,'Quiz 3'!$A$2:$A$35,$A20)</s:f>
        <s:v>6.66666666666667</s:v>
      </s:c>
      <s:c r="E20" s="55">
        <s:f>_xlfn.MAXIFS('Quiz 4'!$H$2:$H$37,'Quiz 4'!$A$2:$A$37,$A20)</s:f>
        <s:v>6.66666666666667</s:v>
      </s:c>
      <s:c r="F20" s="55">
        <s:f>SUMIF(Midterm!$A$2:$A$40,$A20,Midterm!$C$2:$C$40)</s:f>
        <s:v>6</s:v>
      </s:c>
      <s:c r="G20" s="55">
        <s:f>SUM(B20:E20)*7.5%</s:f>
        <s:v>2.25</s:v>
      </s:c>
      <s:c r="H20" s="55">
        <s:f>F20*20%</s:f>
        <s:v>1.2</s:v>
      </s:c>
      <s:c r="I20" s="59">
        <s:f>G20+H20</s:f>
        <s:v>3.45</s:v>
      </s:c>
      <s:c r="J20" s="55">
        <s:f>I20/50%</s:f>
        <s:v>6.9</s:v>
      </s:c>
      <s:c r="K20" s="60" t="n"/>
      <s:c r="L20" s="59" t="str">
        <s:f>IF(ISNUMBER(K20),I20+K20*50%,"")</s:f>
        <s:v/>
      </s:c>
      <s:c r="M20" s="61" t="str">
        <s:f>IF(ISNUMBER(K20),"Complete","Other instructor pending")&amp;""</s:f>
        <s:v>Other instructor pending</s:v>
      </s:c>
    </s:row>
    <s:row r="21" ht="32" customHeight="1">
      <s:c r="A21" s="56" t="inlineStr">
        <s:is>
          <s:t>220</s:t>
        </s:is>
      </s:c>
      <s:c r="B21" s="58">
        <s:f>_xlfn.MAXIFS('Quiz 1'!$H$2:$H$42,'Quiz 1'!$A$2:$A$42,$A21)</s:f>
        <s:v>0</s:v>
      </s:c>
      <s:c r="C21" s="58">
        <s:f>_xlfn.MAXIFS('Quiz 2'!$H$2:$H$37,'Quiz 2'!$A$2:$A$37,$A21)</s:f>
        <s:v>0</s:v>
      </s:c>
      <s:c r="D21" s="58">
        <s:f>_xlfn.MAXIFS('Quiz 3'!$H$2:$H$35,'Quiz 3'!$A$2:$A$35,$A21)</s:f>
        <s:v>0</s:v>
      </s:c>
      <s:c r="E21" s="58">
        <s:f>_xlfn.MAXIFS('Quiz 4'!$H$2:$H$37,'Quiz 4'!$A$2:$A$37,$A21)</s:f>
        <s:v>0</s:v>
      </s:c>
      <s:c r="F21" s="58">
        <s:f>SUMIF(Midterm!$A$2:$A$40,$A21,Midterm!$C$2:$C$40)</s:f>
        <s:v>3.5</s:v>
      </s:c>
      <s:c r="G21" s="58">
        <s:f>SUM(B21:E21)*7.5%</s:f>
        <s:v>0</s:v>
      </s:c>
      <s:c r="H21" s="58">
        <s:f>F21*20%</s:f>
        <s:v>0.7</s:v>
      </s:c>
      <s:c r="I21" s="59">
        <s:f>G21+H21</s:f>
        <s:v>0.7</s:v>
      </s:c>
      <s:c r="J21" s="58">
        <s:f>I21/50%</s:f>
        <s:v>1.4</s:v>
      </s:c>
      <s:c r="K21" s="60" t="n"/>
      <s:c r="L21" s="59" t="str">
        <s:f>IF(ISNUMBER(K21),I21+K21*50%,"")</s:f>
        <s:v/>
      </s:c>
      <s:c r="M21" s="62" t="str">
        <s:f>IF(ISNUMBER(K21),"Complete","Other instructor pending")&amp;"; no record: Quiz 1, Quiz 2, Quiz 3, Quiz 4"</s:f>
        <s:v>Other instructor pending; no record: Quiz 1, Quiz 2, Quiz 3, Quiz 4</s:v>
      </s:c>
    </s:row>
    <s:row r="22" ht="32" customHeight="1">
      <s:c r="A22" s="53" t="inlineStr">
        <s:is>
          <s:t>221</s:t>
        </s:is>
      </s:c>
      <s:c r="B22" s="55">
        <s:f>_xlfn.MAXIFS('Quiz 1'!$H$2:$H$42,'Quiz 1'!$A$2:$A$42,$A22)</s:f>
        <s:v>10</s:v>
      </s:c>
      <s:c r="C22" s="55">
        <s:f>_xlfn.MAXIFS('Quiz 2'!$H$2:$H$37,'Quiz 2'!$A$2:$A$37,$A22)</s:f>
        <s:v>10</s:v>
      </s:c>
      <s:c r="D22" s="55">
        <s:f>_xlfn.MAXIFS('Quiz 3'!$H$2:$H$35,'Quiz 3'!$A$2:$A$35,$A22)</s:f>
        <s:v>10</s:v>
      </s:c>
      <s:c r="E22" s="55">
        <s:f>_xlfn.MAXIFS('Quiz 4'!$H$2:$H$37,'Quiz 4'!$A$2:$A$37,$A22)</s:f>
        <s:v>6.66666666666667</s:v>
      </s:c>
      <s:c r="F22" s="55">
        <s:f>SUMIF(Midterm!$A$2:$A$40,$A22,Midterm!$C$2:$C$40)</s:f>
        <s:v>9.5</s:v>
      </s:c>
      <s:c r="G22" s="55">
        <s:f>SUM(B22:E22)*7.5%</s:f>
        <s:v>2.75</s:v>
      </s:c>
      <s:c r="H22" s="55">
        <s:f>F22*20%</s:f>
        <s:v>1.9</s:v>
      </s:c>
      <s:c r="I22" s="59">
        <s:f>G22+H22</s:f>
        <s:v>4.65</s:v>
      </s:c>
      <s:c r="J22" s="55">
        <s:f>I22/50%</s:f>
        <s:v>9.3</s:v>
      </s:c>
      <s:c r="K22" s="60" t="n"/>
      <s:c r="L22" s="59" t="str">
        <s:f>IF(ISNUMBER(K22),I22+K22*50%,"")</s:f>
        <s:v/>
      </s:c>
      <s:c r="M22" s="61" t="str">
        <s:f>IF(ISNUMBER(K22),"Complete","Other instructor pending")&amp;""</s:f>
        <s:v>Other instructor pending</s:v>
      </s:c>
    </s:row>
    <s:row r="23" ht="32" customHeight="1">
      <s:c r="A23" s="56" t="inlineStr">
        <s:is>
          <s:t>222</s:t>
        </s:is>
      </s:c>
      <s:c r="B23" s="58">
        <s:f>_xlfn.MAXIFS('Quiz 1'!$H$2:$H$42,'Quiz 1'!$A$2:$A$42,$A23)</s:f>
        <s:v>10</s:v>
      </s:c>
      <s:c r="C23" s="58">
        <s:f>_xlfn.MAXIFS('Quiz 2'!$H$2:$H$37,'Quiz 2'!$A$2:$A$37,$A23)</s:f>
        <s:v>6.66666666666667</s:v>
      </s:c>
      <s:c r="D23" s="58">
        <s:f>_xlfn.MAXIFS('Quiz 3'!$H$2:$H$35,'Quiz 3'!$A$2:$A$35,$A23)</s:f>
        <s:v>0</s:v>
      </s:c>
      <s:c r="E23" s="58">
        <s:f>_xlfn.MAXIFS('Quiz 4'!$H$2:$H$37,'Quiz 4'!$A$2:$A$37,$A23)</s:f>
        <s:v>10</s:v>
      </s:c>
      <s:c r="F23" s="58">
        <s:f>SUMIF(Midterm!$A$2:$A$40,$A23,Midterm!$C$2:$C$40)</s:f>
        <s:v>1</s:v>
      </s:c>
      <s:c r="G23" s="58">
        <s:f>SUM(B23:E23)*7.5%</s:f>
        <s:v>2</s:v>
      </s:c>
      <s:c r="H23" s="58">
        <s:f>F23*20%</s:f>
        <s:v>0.2</s:v>
      </s:c>
      <s:c r="I23" s="59">
        <s:f>G23+H23</s:f>
        <s:v>2.2</s:v>
      </s:c>
      <s:c r="J23" s="58">
        <s:f>I23/50%</s:f>
        <s:v>4.4</s:v>
      </s:c>
      <s:c r="K23" s="60" t="n"/>
      <s:c r="L23" s="59" t="str">
        <s:f>IF(ISNUMBER(K23),I23+K23*50%,"")</s:f>
        <s:v/>
      </s:c>
      <s:c r="M23" s="62" t="str">
        <s:f>IF(ISNUMBER(K23),"Complete","Other instructor pending")&amp;"; no record: Quiz 3"</s:f>
        <s:v>Other instructor pending; no record: Quiz 3</s:v>
      </s:c>
    </s:row>
    <s:row r="24" ht="32" customHeight="1">
      <s:c r="A24" s="53" t="inlineStr">
        <s:is>
          <s:t>223</s:t>
        </s:is>
      </s:c>
      <s:c r="B24" s="55">
        <s:f>_xlfn.MAXIFS('Quiz 1'!$H$2:$H$42,'Quiz 1'!$A$2:$A$42,$A24)</s:f>
        <s:v>10</s:v>
      </s:c>
      <s:c r="C24" s="55">
        <s:f>_xlfn.MAXIFS('Quiz 2'!$H$2:$H$37,'Quiz 2'!$A$2:$A$37,$A24)</s:f>
        <s:v>6.66666666666667</s:v>
      </s:c>
      <s:c r="D24" s="55">
        <s:f>_xlfn.MAXIFS('Quiz 3'!$H$2:$H$35,'Quiz 3'!$A$2:$A$35,$A24)</s:f>
        <s:v>10</s:v>
      </s:c>
      <s:c r="E24" s="55">
        <s:f>_xlfn.MAXIFS('Quiz 4'!$H$2:$H$37,'Quiz 4'!$A$2:$A$37,$A24)</s:f>
        <s:v>6.66666666666667</s:v>
      </s:c>
      <s:c r="F24" s="55">
        <s:f>SUMIF(Midterm!$A$2:$A$40,$A24,Midterm!$C$2:$C$40)</s:f>
        <s:v>8</s:v>
      </s:c>
      <s:c r="G24" s="55">
        <s:f>SUM(B24:E24)*7.5%</s:f>
        <s:v>2.5</s:v>
      </s:c>
      <s:c r="H24" s="55">
        <s:f>F24*20%</s:f>
        <s:v>1.6</s:v>
      </s:c>
      <s:c r="I24" s="59">
        <s:f>G24+H24</s:f>
        <s:v>4.1</s:v>
      </s:c>
      <s:c r="J24" s="55">
        <s:f>I24/50%</s:f>
        <s:v>8.2</s:v>
      </s:c>
      <s:c r="K24" s="60" t="n"/>
      <s:c r="L24" s="59" t="str">
        <s:f>IF(ISNUMBER(K24),I24+K24*50%,"")</s:f>
        <s:v/>
      </s:c>
      <s:c r="M24" s="61" t="str">
        <s:f>IF(ISNUMBER(K24),"Complete","Other instructor pending")&amp;""</s:f>
        <s:v>Other instructor pending</s:v>
      </s:c>
    </s:row>
    <s:row r="25" ht="32" customHeight="1">
      <s:c r="A25" s="56" t="inlineStr">
        <s:is>
          <s:t>224</s:t>
        </s:is>
      </s:c>
      <s:c r="B25" s="58">
        <s:f>_xlfn.MAXIFS('Quiz 1'!$H$2:$H$42,'Quiz 1'!$A$2:$A$42,$A25)</s:f>
        <s:v>10</s:v>
      </s:c>
      <s:c r="C25" s="58">
        <s:f>_xlfn.MAXIFS('Quiz 2'!$H$2:$H$37,'Quiz 2'!$A$2:$A$37,$A25)</s:f>
        <s:v>6.66666666666667</s:v>
      </s:c>
      <s:c r="D25" s="58">
        <s:f>_xlfn.MAXIFS('Quiz 3'!$H$2:$H$35,'Quiz 3'!$A$2:$A$35,$A25)</s:f>
        <s:v>3.33333333333333</s:v>
      </s:c>
      <s:c r="E25" s="58">
        <s:f>_xlfn.MAXIFS('Quiz 4'!$H$2:$H$37,'Quiz 4'!$A$2:$A$37,$A25)</s:f>
        <s:v>6.66666666666667</s:v>
      </s:c>
      <s:c r="F25" s="58">
        <s:f>SUMIF(Midterm!$A$2:$A$40,$A25,Midterm!$C$2:$C$40)</s:f>
        <s:v>8</s:v>
      </s:c>
      <s:c r="G25" s="58">
        <s:f>SUM(B25:E25)*7.5%</s:f>
        <s:v>2</s:v>
      </s:c>
      <s:c r="H25" s="58">
        <s:f>F25*20%</s:f>
        <s:v>1.6</s:v>
      </s:c>
      <s:c r="I25" s="59">
        <s:f>G25+H25</s:f>
        <s:v>3.6</s:v>
      </s:c>
      <s:c r="J25" s="58">
        <s:f>I25/50%</s:f>
        <s:v>7.2</s:v>
      </s:c>
      <s:c r="K25" s="60" t="n"/>
      <s:c r="L25" s="59" t="str">
        <s:f>IF(ISNUMBER(K25),I25+K25*50%,"")</s:f>
        <s:v/>
      </s:c>
      <s:c r="M25" s="62" t="str">
        <s:f>IF(ISNUMBER(K25),"Complete","Other instructor pending")&amp;""</s:f>
        <s:v>Other instructor pending</s:v>
      </s:c>
    </s:row>
    <s:row r="26" ht="32" customHeight="1">
      <s:c r="A26" s="53" t="inlineStr">
        <s:is>
          <s:t>225</s:t>
        </s:is>
      </s:c>
      <s:c r="B26" s="55">
        <s:f>_xlfn.MAXIFS('Quiz 1'!$H$2:$H$42,'Quiz 1'!$A$2:$A$42,$A26)</s:f>
        <s:v>10</s:v>
      </s:c>
      <s:c r="C26" s="55">
        <s:f>_xlfn.MAXIFS('Quiz 2'!$H$2:$H$37,'Quiz 2'!$A$2:$A$37,$A26)</s:f>
        <s:v>10</s:v>
      </s:c>
      <s:c r="D26" s="55">
        <s:f>_xlfn.MAXIFS('Quiz 3'!$H$2:$H$35,'Quiz 3'!$A$2:$A$35,$A26)</s:f>
        <s:v>6.66666666666667</s:v>
      </s:c>
      <s:c r="E26" s="55">
        <s:f>_xlfn.MAXIFS('Quiz 4'!$H$2:$H$37,'Quiz 4'!$A$2:$A$37,$A26)</s:f>
        <s:v>6.66666666666667</s:v>
      </s:c>
      <s:c r="F26" s="55">
        <s:f>SUMIF(Midterm!$A$2:$A$40,$A26,Midterm!$C$2:$C$40)</s:f>
        <s:v>9.5</s:v>
      </s:c>
      <s:c r="G26" s="55">
        <s:f>SUM(B26:E26)*7.5%</s:f>
        <s:v>2.5</s:v>
      </s:c>
      <s:c r="H26" s="55">
        <s:f>F26*20%</s:f>
        <s:v>1.9</s:v>
      </s:c>
      <s:c r="I26" s="59">
        <s:f>G26+H26</s:f>
        <s:v>4.4</s:v>
      </s:c>
      <s:c r="J26" s="55">
        <s:f>I26/50%</s:f>
        <s:v>8.8</s:v>
      </s:c>
      <s:c r="K26" s="60" t="n"/>
      <s:c r="L26" s="59" t="str">
        <s:f>IF(ISNUMBER(K26),I26+K26*50%,"")</s:f>
        <s:v/>
      </s:c>
      <s:c r="M26" s="61" t="str">
        <s:f>IF(ISNUMBER(K26),"Complete","Other instructor pending")&amp;""</s:f>
        <s:v>Other instructor pending</s:v>
      </s:c>
    </s:row>
    <s:row r="27" ht="32" customHeight="1">
      <s:c r="A27" s="56" t="inlineStr">
        <s:is>
          <s:t>226</s:t>
        </s:is>
      </s:c>
      <s:c r="B27" s="58">
        <s:f>_xlfn.MAXIFS('Quiz 1'!$H$2:$H$42,'Quiz 1'!$A$2:$A$42,$A27)</s:f>
        <s:v>10</s:v>
      </s:c>
      <s:c r="C27" s="58">
        <s:f>_xlfn.MAXIFS('Quiz 2'!$H$2:$H$37,'Quiz 2'!$A$2:$A$37,$A27)</s:f>
        <s:v>10</s:v>
      </s:c>
      <s:c r="D27" s="58">
        <s:f>_xlfn.MAXIFS('Quiz 3'!$H$2:$H$35,'Quiz 3'!$A$2:$A$35,$A27)</s:f>
        <s:v>6.66666666666667</s:v>
      </s:c>
      <s:c r="E27" s="58">
        <s:f>_xlfn.MAXIFS('Quiz 4'!$H$2:$H$37,'Quiz 4'!$A$2:$A$37,$A27)</s:f>
        <s:v>10</s:v>
      </s:c>
      <s:c r="F27" s="58">
        <s:f>SUMIF(Midterm!$A$2:$A$40,$A27,Midterm!$C$2:$C$40)</s:f>
        <s:v>8</s:v>
      </s:c>
      <s:c r="G27" s="58">
        <s:f>SUM(B27:E27)*7.5%</s:f>
        <s:v>2.75</s:v>
      </s:c>
      <s:c r="H27" s="58">
        <s:f>F27*20%</s:f>
        <s:v>1.6</s:v>
      </s:c>
      <s:c r="I27" s="59">
        <s:f>G27+H27</s:f>
        <s:v>4.35</s:v>
      </s:c>
      <s:c r="J27" s="58">
        <s:f>I27/50%</s:f>
        <s:v>8.7</s:v>
      </s:c>
      <s:c r="K27" s="60" t="n"/>
      <s:c r="L27" s="59" t="str">
        <s:f>IF(ISNUMBER(K27),I27+K27*50%,"")</s:f>
        <s:v/>
      </s:c>
      <s:c r="M27" s="62" t="str">
        <s:f>IF(ISNUMBER(K27),"Complete","Other instructor pending")&amp;""</s:f>
        <s:v>Other instructor pending</s:v>
      </s:c>
    </s:row>
    <s:row r="28" ht="32" customHeight="1">
      <s:c r="A28" s="53" t="inlineStr">
        <s:is>
          <s:t>227</s:t>
        </s:is>
      </s:c>
      <s:c r="B28" s="55">
        <s:f>_xlfn.MAXIFS('Quiz 1'!$H$2:$H$42,'Quiz 1'!$A$2:$A$42,$A28)</s:f>
        <s:v>6.66666666666667</s:v>
      </s:c>
      <s:c r="C28" s="55">
        <s:f>_xlfn.MAXIFS('Quiz 2'!$H$2:$H$37,'Quiz 2'!$A$2:$A$37,$A28)</s:f>
        <s:v>3.33333333333333</s:v>
      </s:c>
      <s:c r="D28" s="55">
        <s:f>_xlfn.MAXIFS('Quiz 3'!$H$2:$H$35,'Quiz 3'!$A$2:$A$35,$A28)</s:f>
        <s:v>10</s:v>
      </s:c>
      <s:c r="E28" s="55">
        <s:f>_xlfn.MAXIFS('Quiz 4'!$H$2:$H$37,'Quiz 4'!$A$2:$A$37,$A28)</s:f>
        <s:v>0</s:v>
      </s:c>
      <s:c r="F28" s="55">
        <s:f>SUMIF(Midterm!$A$2:$A$40,$A28,Midterm!$C$2:$C$40)</s:f>
        <s:v>5</s:v>
      </s:c>
      <s:c r="G28" s="55">
        <s:f>SUM(B28:E28)*7.5%</s:f>
        <s:v>1.5</s:v>
      </s:c>
      <s:c r="H28" s="55">
        <s:f>F28*20%</s:f>
        <s:v>1</s:v>
      </s:c>
      <s:c r="I28" s="59">
        <s:f>G28+H28</s:f>
        <s:v>2.5</s:v>
      </s:c>
      <s:c r="J28" s="55">
        <s:f>I28/50%</s:f>
        <s:v>5</s:v>
      </s:c>
      <s:c r="K28" s="60" t="n"/>
      <s:c r="L28" s="59" t="str">
        <s:f>IF(ISNUMBER(K28),I28+K28*50%,"")</s:f>
        <s:v/>
      </s:c>
      <s:c r="M28" s="61" t="str">
        <s:f>IF(ISNUMBER(K28),"Complete","Other instructor pending")&amp;""</s:f>
        <s:v>Other instructor pending</s:v>
      </s:c>
    </s:row>
    <s:row r="29" ht="32" customHeight="1">
      <s:c r="A29" s="56" t="inlineStr">
        <s:is>
          <s:t>228</s:t>
        </s:is>
      </s:c>
      <s:c r="B29" s="58">
        <s:f>_xlfn.MAXIFS('Quiz 1'!$H$2:$H$42,'Quiz 1'!$A$2:$A$42,$A29)</s:f>
        <s:v>10</s:v>
      </s:c>
      <s:c r="C29" s="58">
        <s:f>_xlfn.MAXIFS('Quiz 2'!$H$2:$H$37,'Quiz 2'!$A$2:$A$37,$A29)</s:f>
        <s:v>10</s:v>
      </s:c>
      <s:c r="D29" s="58">
        <s:f>_xlfn.MAXIFS('Quiz 3'!$H$2:$H$35,'Quiz 3'!$A$2:$A$35,$A29)</s:f>
        <s:v>3.33333333333333</s:v>
      </s:c>
      <s:c r="E29" s="58">
        <s:f>_xlfn.MAXIFS('Quiz 4'!$H$2:$H$37,'Quiz 4'!$A$2:$A$37,$A29)</s:f>
        <s:v>6.66666666666667</s:v>
      </s:c>
      <s:c r="F29" s="58">
        <s:f>SUMIF(Midterm!$A$2:$A$40,$A29,Midterm!$C$2:$C$40)</s:f>
        <s:v>5.5</s:v>
      </s:c>
      <s:c r="G29" s="58">
        <s:f>SUM(B29:E29)*7.5%</s:f>
        <s:v>2.25</s:v>
      </s:c>
      <s:c r="H29" s="58">
        <s:f>F29*20%</s:f>
        <s:v>1.1</s:v>
      </s:c>
      <s:c r="I29" s="59">
        <s:f>G29+H29</s:f>
        <s:v>3.35</s:v>
      </s:c>
      <s:c r="J29" s="58">
        <s:f>I29/50%</s:f>
        <s:v>6.7</s:v>
      </s:c>
      <s:c r="K29" s="60" t="n"/>
      <s:c r="L29" s="59" t="str">
        <s:f>IF(ISNUMBER(K29),I29+K29*50%,"")</s:f>
        <s:v/>
      </s:c>
      <s:c r="M29" s="62" t="str">
        <s:f>IF(ISNUMBER(K29),"Complete","Other instructor pending")&amp;""</s:f>
        <s:v>Other instructor pending</s:v>
      </s:c>
    </s:row>
    <s:row r="30" ht="32" customHeight="1">
      <s:c r="A30" s="53" t="inlineStr">
        <s:is>
          <s:t>229</s:t>
        </s:is>
      </s:c>
      <s:c r="B30" s="55">
        <s:f>_xlfn.MAXIFS('Quiz 1'!$H$2:$H$42,'Quiz 1'!$A$2:$A$42,$A30)</s:f>
        <s:v>6.66666666666667</s:v>
      </s:c>
      <s:c r="C30" s="55">
        <s:f>_xlfn.MAXIFS('Quiz 2'!$H$2:$H$37,'Quiz 2'!$A$2:$A$37,$A30)</s:f>
        <s:v>3.33333333333333</s:v>
      </s:c>
      <s:c r="D30" s="55">
        <s:f>_xlfn.MAXIFS('Quiz 3'!$H$2:$H$35,'Quiz 3'!$A$2:$A$35,$A30)</s:f>
        <s:v>10</s:v>
      </s:c>
      <s:c r="E30" s="55">
        <s:f>_xlfn.MAXIFS('Quiz 4'!$H$2:$H$37,'Quiz 4'!$A$2:$A$37,$A30)</s:f>
        <s:v>3.33333333333333</s:v>
      </s:c>
      <s:c r="F30" s="55">
        <s:f>SUMIF(Midterm!$A$2:$A$40,$A30,Midterm!$C$2:$C$40)</s:f>
        <s:v>6.5</s:v>
      </s:c>
      <s:c r="G30" s="55">
        <s:f>SUM(B30:E30)*7.5%</s:f>
        <s:v>1.75</s:v>
      </s:c>
      <s:c r="H30" s="55">
        <s:f>F30*20%</s:f>
        <s:v>1.3</s:v>
      </s:c>
      <s:c r="I30" s="59">
        <s:f>G30+H30</s:f>
        <s:v>3.05</s:v>
      </s:c>
      <s:c r="J30" s="55">
        <s:f>I30/50%</s:f>
        <s:v>6.1</s:v>
      </s:c>
      <s:c r="K30" s="60" t="n"/>
      <s:c r="L30" s="59" t="str">
        <s:f>IF(ISNUMBER(K30),I30+K30*50%,"")</s:f>
        <s:v/>
      </s:c>
      <s:c r="M30" s="61" t="str">
        <s:f>IF(ISNUMBER(K30),"Complete","Other instructor pending")&amp;""</s:f>
        <s:v>Other instructor pending</s:v>
      </s:c>
    </s:row>
    <s:row r="31" ht="32" customHeight="1">
      <s:c r="A31" s="56" t="inlineStr">
        <s:is>
          <s:t>230</s:t>
        </s:is>
      </s:c>
      <s:c r="B31" s="58">
        <s:f>_xlfn.MAXIFS('Quiz 1'!$H$2:$H$42,'Quiz 1'!$A$2:$A$42,$A31)</s:f>
        <s:v>6.66666666666667</s:v>
      </s:c>
      <s:c r="C31" s="58">
        <s:f>_xlfn.MAXIFS('Quiz 2'!$H$2:$H$37,'Quiz 2'!$A$2:$A$37,$A31)</s:f>
        <s:v>6.66666666666667</s:v>
      </s:c>
      <s:c r="D31" s="58">
        <s:f>_xlfn.MAXIFS('Quiz 3'!$H$2:$H$35,'Quiz 3'!$A$2:$A$35,$A31)</s:f>
        <s:v>10</s:v>
      </s:c>
      <s:c r="E31" s="58">
        <s:f>_xlfn.MAXIFS('Quiz 4'!$H$2:$H$37,'Quiz 4'!$A$2:$A$37,$A31)</s:f>
        <s:v>3.33333333333333</s:v>
      </s:c>
      <s:c r="F31" s="58">
        <s:f>SUMIF(Midterm!$A$2:$A$40,$A31,Midterm!$C$2:$C$40)</s:f>
        <s:v>8</s:v>
      </s:c>
      <s:c r="G31" s="58">
        <s:f>SUM(B31:E31)*7.5%</s:f>
        <s:v>2</s:v>
      </s:c>
      <s:c r="H31" s="58">
        <s:f>F31*20%</s:f>
        <s:v>1.6</s:v>
      </s:c>
      <s:c r="I31" s="59">
        <s:f>G31+H31</s:f>
        <s:v>3.6</s:v>
      </s:c>
      <s:c r="J31" s="58">
        <s:f>I31/50%</s:f>
        <s:v>7.2</s:v>
      </s:c>
      <s:c r="K31" s="60" t="n"/>
      <s:c r="L31" s="59" t="str">
        <s:f>IF(ISNUMBER(K31),I31+K31*50%,"")</s:f>
        <s:v/>
      </s:c>
      <s:c r="M31" s="62" t="str">
        <s:f>IF(ISNUMBER(K31),"Complete","Other instructor pending")&amp;""</s:f>
        <s:v>Other instructor pending</s:v>
      </s:c>
    </s:row>
    <s:row r="32" ht="32" customHeight="1">
      <s:c r="A32" s="53" t="inlineStr">
        <s:is>
          <s:t>232</s:t>
        </s:is>
      </s:c>
      <s:c r="B32" s="55">
        <s:f>_xlfn.MAXIFS('Quiz 1'!$H$2:$H$42,'Quiz 1'!$A$2:$A$42,$A32)</s:f>
        <s:v>10</s:v>
      </s:c>
      <s:c r="C32" s="55">
        <s:f>_xlfn.MAXIFS('Quiz 2'!$H$2:$H$37,'Quiz 2'!$A$2:$A$37,$A32)</s:f>
        <s:v>6.66666666666667</s:v>
      </s:c>
      <s:c r="D32" s="55">
        <s:f>_xlfn.MAXIFS('Quiz 3'!$H$2:$H$35,'Quiz 3'!$A$2:$A$35,$A32)</s:f>
        <s:v>6.66666666666667</s:v>
      </s:c>
      <s:c r="E32" s="55">
        <s:f>_xlfn.MAXIFS('Quiz 4'!$H$2:$H$37,'Quiz 4'!$A$2:$A$37,$A32)</s:f>
        <s:v>3.33333333333333</s:v>
      </s:c>
      <s:c r="F32" s="55">
        <s:f>SUMIF(Midterm!$A$2:$A$40,$A32,Midterm!$C$2:$C$40)</s:f>
        <s:v>7</s:v>
      </s:c>
      <s:c r="G32" s="55">
        <s:f>SUM(B32:E32)*7.5%</s:f>
        <s:v>2</s:v>
      </s:c>
      <s:c r="H32" s="55">
        <s:f>F32*20%</s:f>
        <s:v>1.4</s:v>
      </s:c>
      <s:c r="I32" s="59">
        <s:f>G32+H32</s:f>
        <s:v>3.4</s:v>
      </s:c>
      <s:c r="J32" s="55">
        <s:f>I32/50%</s:f>
        <s:v>6.8</s:v>
      </s:c>
      <s:c r="K32" s="60" t="n"/>
      <s:c r="L32" s="59" t="str">
        <s:f>IF(ISNUMBER(K32),I32+K32*50%,"")</s:f>
        <s:v/>
      </s:c>
      <s:c r="M32" s="61" t="str">
        <s:f>IF(ISNUMBER(K32),"Complete","Other instructor pending")&amp;""</s:f>
        <s:v>Other instructor pending</s:v>
      </s:c>
    </s:row>
    <s:row r="33" ht="32" customHeight="1">
      <s:c r="A33" s="56" t="inlineStr">
        <s:is>
          <s:t>233</s:t>
        </s:is>
      </s:c>
      <s:c r="B33" s="58">
        <s:f>_xlfn.MAXIFS('Quiz 1'!$H$2:$H$42,'Quiz 1'!$A$2:$A$42,$A33)</s:f>
        <s:v>10</s:v>
      </s:c>
      <s:c r="C33" s="58">
        <s:f>_xlfn.MAXIFS('Quiz 2'!$H$2:$H$37,'Quiz 2'!$A$2:$A$37,$A33)</s:f>
        <s:v>6.66666666666667</s:v>
      </s:c>
      <s:c r="D33" s="58">
        <s:f>_xlfn.MAXIFS('Quiz 3'!$H$2:$H$35,'Quiz 3'!$A$2:$A$35,$A33)</s:f>
        <s:v>6.66666666666667</s:v>
      </s:c>
      <s:c r="E33" s="58">
        <s:f>_xlfn.MAXIFS('Quiz 4'!$H$2:$H$37,'Quiz 4'!$A$2:$A$37,$A33)</s:f>
        <s:v>3.33333333333333</s:v>
      </s:c>
      <s:c r="F33" s="58">
        <s:f>SUMIF(Midterm!$A$2:$A$40,$A33,Midterm!$C$2:$C$40)</s:f>
        <s:v>7.5</s:v>
      </s:c>
      <s:c r="G33" s="58">
        <s:f>SUM(B33:E33)*7.5%</s:f>
        <s:v>2</s:v>
      </s:c>
      <s:c r="H33" s="58">
        <s:f>F33*20%</s:f>
        <s:v>1.5</s:v>
      </s:c>
      <s:c r="I33" s="59">
        <s:f>G33+H33</s:f>
        <s:v>3.5</s:v>
      </s:c>
      <s:c r="J33" s="58">
        <s:f>I33/50%</s:f>
        <s:v>7</s:v>
      </s:c>
      <s:c r="K33" s="60" t="n"/>
      <s:c r="L33" s="59" t="str">
        <s:f>IF(ISNUMBER(K33),I33+K33*50%,"")</s:f>
        <s:v/>
      </s:c>
      <s:c r="M33" s="62" t="str">
        <s:f>IF(ISNUMBER(K33),"Complete","Other instructor pending")&amp;""</s:f>
        <s:v>Other instructor pending</s:v>
      </s:c>
    </s:row>
    <s:row r="34" ht="32" customHeight="1">
      <s:c r="A34" s="53" t="inlineStr">
        <s:is>
          <s:t>234</s:t>
        </s:is>
      </s:c>
      <s:c r="B34" s="55">
        <s:f>_xlfn.MAXIFS('Quiz 1'!$H$2:$H$42,'Quiz 1'!$A$2:$A$42,$A34)</s:f>
        <s:v>0</s:v>
      </s:c>
      <s:c r="C34" s="55">
        <s:f>_xlfn.MAXIFS('Quiz 2'!$H$2:$H$37,'Quiz 2'!$A$2:$A$37,$A34)</s:f>
        <s:v>6.66666666666667</s:v>
      </s:c>
      <s:c r="D34" s="55">
        <s:f>_xlfn.MAXIFS('Quiz 3'!$H$2:$H$35,'Quiz 3'!$A$2:$A$35,$A34)</s:f>
        <s:v>0</s:v>
      </s:c>
      <s:c r="E34" s="55">
        <s:f>_xlfn.MAXIFS('Quiz 4'!$H$2:$H$37,'Quiz 4'!$A$2:$A$37,$A34)</s:f>
        <s:v>6.66666666666667</s:v>
      </s:c>
      <s:c r="F34" s="55">
        <s:f>SUMIF(Midterm!$A$2:$A$40,$A34,Midterm!$C$2:$C$40)</s:f>
        <s:v>4.5</s:v>
      </s:c>
      <s:c r="G34" s="55">
        <s:f>SUM(B34:E34)*7.5%</s:f>
        <s:v>1</s:v>
      </s:c>
      <s:c r="H34" s="55">
        <s:f>F34*20%</s:f>
        <s:v>0.9</s:v>
      </s:c>
      <s:c r="I34" s="59">
        <s:f>G34+H34</s:f>
        <s:v>1.9</s:v>
      </s:c>
      <s:c r="J34" s="55">
        <s:f>I34/50%</s:f>
        <s:v>3.8</s:v>
      </s:c>
      <s:c r="K34" s="60" t="n"/>
      <s:c r="L34" s="59" t="str">
        <s:f>IF(ISNUMBER(K34),I34+K34*50%,"")</s:f>
        <s:v/>
      </s:c>
      <s:c r="M34" s="61" t="str">
        <s:f>IF(ISNUMBER(K34),"Complete","Other instructor pending")&amp;"; no record: Quiz 1, Quiz 3"</s:f>
        <s:v>Other instructor pending; no record: Quiz 1, Quiz 3</s:v>
      </s:c>
    </s:row>
    <s:row r="35" ht="32" customHeight="1">
      <s:c r="A35" s="56" t="inlineStr">
        <s:is>
          <s:t>235</s:t>
        </s:is>
      </s:c>
      <s:c r="B35" s="58">
        <s:f>_xlfn.MAXIFS('Quiz 1'!$H$2:$H$42,'Quiz 1'!$A$2:$A$42,$A35)</s:f>
        <s:v>0</s:v>
      </s:c>
      <s:c r="C35" s="58">
        <s:f>_xlfn.MAXIFS('Quiz 2'!$H$2:$H$37,'Quiz 2'!$A$2:$A$37,$A35)</s:f>
        <s:v>0</s:v>
      </s:c>
      <s:c r="D35" s="58">
        <s:f>_xlfn.MAXIFS('Quiz 3'!$H$2:$H$35,'Quiz 3'!$A$2:$A$35,$A35)</s:f>
        <s:v>6.66666666666667</s:v>
      </s:c>
      <s:c r="E35" s="58">
        <s:f>_xlfn.MAXIFS('Quiz 4'!$H$2:$H$37,'Quiz 4'!$A$2:$A$37,$A35)</s:f>
        <s:v>3.33333333333333</s:v>
      </s:c>
      <s:c r="F35" s="58">
        <s:f>SUMIF(Midterm!$A$2:$A$40,$A35,Midterm!$C$2:$C$40)</s:f>
        <s:v>6</s:v>
      </s:c>
      <s:c r="G35" s="58">
        <s:f>SUM(B35:E35)*7.5%</s:f>
        <s:v>0.75</s:v>
      </s:c>
      <s:c r="H35" s="58">
        <s:f>F35*20%</s:f>
        <s:v>1.2</s:v>
      </s:c>
      <s:c r="I35" s="59">
        <s:f>G35+H35</s:f>
        <s:v>1.95</s:v>
      </s:c>
      <s:c r="J35" s="58">
        <s:f>I35/50%</s:f>
        <s:v>3.9</s:v>
      </s:c>
      <s:c r="K35" s="60" t="n"/>
      <s:c r="L35" s="59" t="str">
        <s:f>IF(ISNUMBER(K35),I35+K35*50%,"")</s:f>
        <s:v/>
      </s:c>
      <s:c r="M35" s="62" t="str">
        <s:f>IF(ISNUMBER(K35),"Complete","Other instructor pending")&amp;"; no record: Quiz 1"</s:f>
        <s:v>Other instructor pending; no record: Quiz 1</s:v>
      </s:c>
    </s:row>
    <s:row r="36" ht="32" customHeight="1">
      <s:c r="A36" s="53" t="inlineStr">
        <s:is>
          <s:t>236</s:t>
        </s:is>
      </s:c>
      <s:c r="B36" s="55">
        <s:f>_xlfn.MAXIFS('Quiz 1'!$H$2:$H$42,'Quiz 1'!$A$2:$A$42,$A36)</s:f>
        <s:v>6.66666666666667</s:v>
      </s:c>
      <s:c r="C36" s="55">
        <s:f>_xlfn.MAXIFS('Quiz 2'!$H$2:$H$37,'Quiz 2'!$A$2:$A$37,$A36)</s:f>
        <s:v>0</s:v>
      </s:c>
      <s:c r="D36" s="55">
        <s:f>_xlfn.MAXIFS('Quiz 3'!$H$2:$H$35,'Quiz 3'!$A$2:$A$35,$A36)</s:f>
        <s:v>6.66666666666667</s:v>
      </s:c>
      <s:c r="E36" s="55">
        <s:f>_xlfn.MAXIFS('Quiz 4'!$H$2:$H$37,'Quiz 4'!$A$2:$A$37,$A36)</s:f>
        <s:v>3.33333333333333</s:v>
      </s:c>
      <s:c r="F36" s="55">
        <s:f>SUMIF(Midterm!$A$2:$A$40,$A36,Midterm!$C$2:$C$40)</s:f>
        <s:v>5</s:v>
      </s:c>
      <s:c r="G36" s="55">
        <s:f>SUM(B36:E36)*7.5%</s:f>
        <s:v>1.25</s:v>
      </s:c>
      <s:c r="H36" s="55">
        <s:f>F36*20%</s:f>
        <s:v>1</s:v>
      </s:c>
      <s:c r="I36" s="59">
        <s:f>G36+H36</s:f>
        <s:v>2.25</s:v>
      </s:c>
      <s:c r="J36" s="55">
        <s:f>I36/50%</s:f>
        <s:v>4.5</s:v>
      </s:c>
      <s:c r="K36" s="60" t="n"/>
      <s:c r="L36" s="59" t="str">
        <s:f>IF(ISNUMBER(K36),I36+K36*50%,"")</s:f>
        <s:v/>
      </s:c>
      <s:c r="M36" s="61" t="str">
        <s:f>IF(ISNUMBER(K36),"Complete","Other instructor pending")&amp;"; no record: Quiz 2"</s:f>
        <s:v>Other instructor pending; no record: Quiz 2</s:v>
      </s:c>
    </s:row>
    <s:row r="37" ht="32" customHeight="1">
      <s:c r="A37" s="56" t="inlineStr">
        <s:is>
          <s:t>237</s:t>
        </s:is>
      </s:c>
      <s:c r="B37" s="58">
        <s:f>_xlfn.MAXIFS('Quiz 1'!$H$2:$H$42,'Quiz 1'!$A$2:$A$42,$A37)</s:f>
        <s:v>0</s:v>
      </s:c>
      <s:c r="C37" s="58">
        <s:f>_xlfn.MAXIFS('Quiz 2'!$H$2:$H$37,'Quiz 2'!$A$2:$A$37,$A37)</s:f>
        <s:v>0</s:v>
      </s:c>
      <s:c r="D37" s="58">
        <s:f>_xlfn.MAXIFS('Quiz 3'!$H$2:$H$35,'Quiz 3'!$A$2:$A$35,$A37)</s:f>
        <s:v>0</s:v>
      </s:c>
      <s:c r="E37" s="58">
        <s:f>_xlfn.MAXIFS('Quiz 4'!$H$2:$H$37,'Quiz 4'!$A$2:$A$37,$A37)</s:f>
        <s:v>0</s:v>
      </s:c>
      <s:c r="F37" s="58">
        <s:f>SUMIF(Midterm!$A$2:$A$40,$A37,Midterm!$C$2:$C$40)</s:f>
        <s:v>5</s:v>
      </s:c>
      <s:c r="G37" s="58">
        <s:f>SUM(B37:E37)*7.5%</s:f>
        <s:v>0</s:v>
      </s:c>
      <s:c r="H37" s="58">
        <s:f>F37*20%</s:f>
        <s:v>1</s:v>
      </s:c>
      <s:c r="I37" s="59">
        <s:f>G37+H37</s:f>
        <s:v>1</s:v>
      </s:c>
      <s:c r="J37" s="58">
        <s:f>I37/50%</s:f>
        <s:v>2</s:v>
      </s:c>
      <s:c r="K37" s="60" t="n"/>
      <s:c r="L37" s="59" t="str">
        <s:f>IF(ISNUMBER(K37),I37+K37*50%,"")</s:f>
        <s:v/>
      </s:c>
      <s:c r="M37" s="62" t="str">
        <s:f>IF(ISNUMBER(K37),"Complete","Other instructor pending")&amp;"; no record: Quiz 1, Quiz 3, Quiz 4"</s:f>
        <s:v>Other instructor pending; no record: Quiz 1, Quiz 3, Quiz 4</s:v>
      </s:c>
    </s:row>
    <s:row r="38" ht="32" customHeight="1">
      <s:c r="A38" s="53" t="inlineStr">
        <s:is>
          <s:t>238</s:t>
        </s:is>
      </s:c>
      <s:c r="B38" s="55">
        <s:f>_xlfn.MAXIFS('Quiz 1'!$H$2:$H$42,'Quiz 1'!$A$2:$A$42,$A38)</s:f>
        <s:v>10</s:v>
      </s:c>
      <s:c r="C38" s="55">
        <s:f>_xlfn.MAXIFS('Quiz 2'!$H$2:$H$37,'Quiz 2'!$A$2:$A$37,$A38)</s:f>
        <s:v>10</s:v>
      </s:c>
      <s:c r="D38" s="55">
        <s:f>_xlfn.MAXIFS('Quiz 3'!$H$2:$H$35,'Quiz 3'!$A$2:$A$35,$A38)</s:f>
        <s:v>10</s:v>
      </s:c>
      <s:c r="E38" s="55">
        <s:f>_xlfn.MAXIFS('Quiz 4'!$H$2:$H$37,'Quiz 4'!$A$2:$A$37,$A38)</s:f>
        <s:v>3.33333333333333</s:v>
      </s:c>
      <s:c r="F38" s="55">
        <s:f>SUMIF(Midterm!$A$2:$A$40,$A38,Midterm!$C$2:$C$40)</s:f>
        <s:v>10</s:v>
      </s:c>
      <s:c r="G38" s="55">
        <s:f>SUM(B38:E38)*7.5%</s:f>
        <s:v>2.5</s:v>
      </s:c>
      <s:c r="H38" s="55">
        <s:f>F38*20%</s:f>
        <s:v>2</s:v>
      </s:c>
      <s:c r="I38" s="59">
        <s:f>G38+H38</s:f>
        <s:v>4.5</s:v>
      </s:c>
      <s:c r="J38" s="55">
        <s:f>I38/50%</s:f>
        <s:v>9</s:v>
      </s:c>
      <s:c r="K38" s="60" t="n"/>
      <s:c r="L38" s="59" t="str">
        <s:f>IF(ISNUMBER(K38),I38+K38*50%,"")</s:f>
        <s:v/>
      </s:c>
      <s:c r="M38" s="61" t="str">
        <s:f>IF(ISNUMBER(K38),"Complete","Other instructor pending")&amp;""</s:f>
        <s:v>Other instructor pending</s:v>
      </s:c>
    </s:row>
    <s:row r="39" ht="32" customHeight="1">
      <s:c r="A39" s="56" t="inlineStr">
        <s:is>
          <s:t>239</s:t>
        </s:is>
      </s:c>
      <s:c r="B39" s="58">
        <s:f>_xlfn.MAXIFS('Quiz 1'!$H$2:$H$42,'Quiz 1'!$A$2:$A$42,$A39)</s:f>
        <s:v>6.66666666666667</s:v>
      </s:c>
      <s:c r="C39" s="58">
        <s:f>_xlfn.MAXIFS('Quiz 2'!$H$2:$H$37,'Quiz 2'!$A$2:$A$37,$A39)</s:f>
        <s:v>3.33333333333333</s:v>
      </s:c>
      <s:c r="D39" s="58">
        <s:f>_xlfn.MAXIFS('Quiz 3'!$H$2:$H$35,'Quiz 3'!$A$2:$A$35,$A39)</s:f>
        <s:v>3.33333333333333</s:v>
      </s:c>
      <s:c r="E39" s="58">
        <s:f>_xlfn.MAXIFS('Quiz 4'!$H$2:$H$37,'Quiz 4'!$A$2:$A$37,$A39)</s:f>
        <s:v>0</s:v>
      </s:c>
      <s:c r="F39" s="58">
        <s:f>SUMIF(Midterm!$A$2:$A$40,$A39,Midterm!$C$2:$C$40)</s:f>
        <s:v>6</s:v>
      </s:c>
      <s:c r="G39" s="58">
        <s:f>SUM(B39:E39)*7.5%</s:f>
        <s:v>1</s:v>
      </s:c>
      <s:c r="H39" s="58">
        <s:f>F39*20%</s:f>
        <s:v>1.2</s:v>
      </s:c>
      <s:c r="I39" s="59">
        <s:f>G39+H39</s:f>
        <s:v>2.2</s:v>
      </s:c>
      <s:c r="J39" s="58">
        <s:f>I39/50%</s:f>
        <s:v>4.4</s:v>
      </s:c>
      <s:c r="K39" s="60" t="n"/>
      <s:c r="L39" s="59" t="str">
        <s:f>IF(ISNUMBER(K39),I39+K39*50%,"")</s:f>
        <s:v/>
      </s:c>
      <s:c r="M39" s="62" t="str">
        <s:f>IF(ISNUMBER(K39),"Complete","Other instructor pending")&amp;""</s:f>
        <s:v>Other instructor pending</s:v>
      </s:c>
    </s:row>
    <s:row r="40" ht="32" customHeight="1">
      <s:c r="A40" s="53" t="inlineStr">
        <s:is>
          <s:t>240</s:t>
        </s:is>
      </s:c>
      <s:c r="B40" s="55">
        <s:f>_xlfn.MAXIFS('Quiz 1'!$H$2:$H$42,'Quiz 1'!$A$2:$A$42,$A40)</s:f>
        <s:v>0</s:v>
      </s:c>
      <s:c r="C40" s="55">
        <s:f>_xlfn.MAXIFS('Quiz 2'!$H$2:$H$37,'Quiz 2'!$A$2:$A$37,$A40)</s:f>
        <s:v>6.66666666666667</s:v>
      </s:c>
      <s:c r="D40" s="55">
        <s:f>_xlfn.MAXIFS('Quiz 3'!$H$2:$H$35,'Quiz 3'!$A$2:$A$35,$A40)</s:f>
        <s:v>3.33333333333333</s:v>
      </s:c>
      <s:c r="E40" s="55">
        <s:f>_xlfn.MAXIFS('Quiz 4'!$H$2:$H$37,'Quiz 4'!$A$2:$A$37,$A40)</s:f>
        <s:v>0</s:v>
      </s:c>
      <s:c r="F40" s="55">
        <s:f>SUMIF(Midterm!$A$2:$A$40,$A40,Midterm!$C$2:$C$40)</s:f>
        <s:v>3</s:v>
      </s:c>
      <s:c r="G40" s="55">
        <s:f>SUM(B40:E40)*7.5%</s:f>
        <s:v>0.75</s:v>
      </s:c>
      <s:c r="H40" s="55">
        <s:f>F40*20%</s:f>
        <s:v>0.6</s:v>
      </s:c>
      <s:c r="I40" s="59">
        <s:f>G40+H40</s:f>
        <s:v>1.35</s:v>
      </s:c>
      <s:c r="J40" s="55">
        <s:f>I40/50%</s:f>
        <s:v>2.7</s:v>
      </s:c>
      <s:c r="K40" s="60" t="n"/>
      <s:c r="L40" s="59" t="str">
        <s:f>IF(ISNUMBER(K40),I40+K40*50%,"")</s:f>
        <s:v/>
      </s:c>
      <s:c r="M40" s="61" t="str">
        <s:f>IF(ISNUMBER(K40),"Complete","Other instructor pending")&amp;"; no record: Quiz 1"</s:f>
        <s:v>Other instructor pending; no record: Quiz 1</s:v>
      </s:c>
    </s:row>
    <s:row r="41" ht="32" customHeight="1">
      <s:c r="A41" s="56" t="inlineStr">
        <s:is>
          <s:t>242</s:t>
        </s:is>
      </s:c>
      <s:c r="B41" s="58">
        <s:f>_xlfn.MAXIFS('Quiz 1'!$H$2:$H$42,'Quiz 1'!$A$2:$A$42,$A41)</s:f>
        <s:v>6.66666666666667</s:v>
      </s:c>
      <s:c r="C41" s="58">
        <s:f>_xlfn.MAXIFS('Quiz 2'!$H$2:$H$37,'Quiz 2'!$A$2:$A$37,$A41)</s:f>
        <s:v>0</s:v>
      </s:c>
      <s:c r="D41" s="58">
        <s:f>_xlfn.MAXIFS('Quiz 3'!$H$2:$H$35,'Quiz 3'!$A$2:$A$35,$A41)</s:f>
        <s:v>0</s:v>
      </s:c>
      <s:c r="E41" s="58">
        <s:f>_xlfn.MAXIFS('Quiz 4'!$H$2:$H$37,'Quiz 4'!$A$2:$A$37,$A41)</s:f>
        <s:v>0</s:v>
      </s:c>
      <s:c r="F41" s="58">
        <s:f>SUMIF(Midterm!$A$2:$A$40,$A41,Midterm!$C$2:$C$40)</s:f>
        <s:v>0</s:v>
      </s:c>
      <s:c r="G41" s="58">
        <s:f>SUM(B41:E41)*7.5%</s:f>
        <s:v>0.5</s:v>
      </s:c>
      <s:c r="H41" s="58">
        <s:f>F41*20%</s:f>
        <s:v>0</s:v>
      </s:c>
      <s:c r="I41" s="59">
        <s:f>G41+H41</s:f>
        <s:v>0.5</s:v>
      </s:c>
      <s:c r="J41" s="58">
        <s:f>I41/50%</s:f>
        <s:v>1</s:v>
      </s:c>
      <s:c r="K41" s="60" t="n"/>
      <s:c r="L41" s="59" t="str">
        <s:f>IF(ISNUMBER(K41),I41+K41*50%,"")</s:f>
        <s:v/>
      </s:c>
      <s:c r="M41" s="62" t="str">
        <s:f>IF(ISNUMBER(K41),"Complete","Other instructor pending")&amp;"; no record: Quiz 2, Quiz 3, Quiz 4, Midterm"</s:f>
        <s:v>Other instructor pending; no record: Quiz 2, Quiz 3, Quiz 4, Midterm</s:v>
      </s:c>
    </s:row>
    <s:row r="42" ht="32" customHeight="1">
      <s:c r="A42" s="53" t="inlineStr">
        <s:is>
          <s:t>243</s:t>
        </s:is>
      </s:c>
      <s:c r="B42" s="55">
        <s:f>_xlfn.MAXIFS('Quiz 1'!$H$2:$H$42,'Quiz 1'!$A$2:$A$42,$A42)</s:f>
        <s:v>3.33333333333333</s:v>
      </s:c>
      <s:c r="C42" s="55">
        <s:f>_xlfn.MAXIFS('Quiz 2'!$H$2:$H$37,'Quiz 2'!$A$2:$A$37,$A42)</s:f>
        <s:v>0</s:v>
      </s:c>
      <s:c r="D42" s="55">
        <s:f>_xlfn.MAXIFS('Quiz 3'!$H$2:$H$35,'Quiz 3'!$A$2:$A$35,$A42)</s:f>
        <s:v>0</s:v>
      </s:c>
      <s:c r="E42" s="55">
        <s:f>_xlfn.MAXIFS('Quiz 4'!$H$2:$H$37,'Quiz 4'!$A$2:$A$37,$A42)</s:f>
        <s:v>0</s:v>
      </s:c>
      <s:c r="F42" s="55">
        <s:f>SUMIF(Midterm!$A$2:$A$40,$A42,Midterm!$C$2:$C$40)</s:f>
        <s:v>0</s:v>
      </s:c>
      <s:c r="G42" s="55">
        <s:f>SUM(B42:E42)*7.5%</s:f>
        <s:v>0.25</s:v>
      </s:c>
      <s:c r="H42" s="55">
        <s:f>F42*20%</s:f>
        <s:v>0</s:v>
      </s:c>
      <s:c r="I42" s="59">
        <s:f>G42+H42</s:f>
        <s:v>0.25</s:v>
      </s:c>
      <s:c r="J42" s="55">
        <s:f>I42/50%</s:f>
        <s:v>0.5</s:v>
      </s:c>
      <s:c r="K42" s="60" t="n"/>
      <s:c r="L42" s="59" t="str">
        <s:f>IF(ISNUMBER(K42),I42+K42*50%,"")</s:f>
        <s:v/>
      </s:c>
      <s:c r="M42" s="61" t="str">
        <s:f>IF(ISNUMBER(K42),"Complete","Other instructor pending")&amp;"; no record: Quiz 2, Quiz 3, Quiz 4, Midterm"</s:f>
        <s:v>Other instructor pending; no record: Quiz 2, Quiz 3, Quiz 4, Midterm</s:v>
      </s:c>
    </s:row>
    <s:row r="45" ht="30" customHeight="1">
      <s:c r="A45" s="50" t="inlineStr">
        <s:is>
          <s:t>Grading scheme — course grades are reported on a 10-point scale.</s:t>
        </s:is>
      </s:c>
    </s:row>
    <s:row r="46" ht="30" customHeight="1">
      <s:c r="A46" s="51" t="inlineStr">
        <s:is>
          <s:t>Four quizzes contribute 30% in total: 7.5% each. Each quiz is out of 3 raw points and is converted to a grade out of 10.</s:t>
        </s:is>
      </s:c>
    </s:row>
    <s:row r="47" ht="30" customHeight="1">
      <s:c r="A47" s="51" t="inlineStr">
        <s:is>
          <s:t>Midterm contributes 20%: raw points out of 20 are converted to a grade out of 10.</s:t>
        </s:is>
      </s:c>
    </s:row>
    <s:row r="48" ht="30" customHeight="1">
      <s:c r="A48" s="51" t="inlineStr">
        <s:is>
          <s:t>Swapnil course points = 0.075 × (Quiz 1 + Quiz 2 + Quiz 3 + Quiz 4 grades / 10) + 0.20 × (midterm grade / 10). Maximum = 5 of the course’s 10 points.</s:t>
        </s:is>
      </s:c>
    </s:row>
    <s:row r="49" ht="30" customHeight="1">
      <s:c r="A49" s="51" t="inlineStr">
        <s:is>
          <s:t>Swapnil normalized grade / 10 = Swapnil course points ÷ 0.50. This describes performance within his half and is separate from the final course grade.</s:t>
        </s:is>
      </s:c>
    </s:row>
    <s:row r="50" ht="30" customHeight="1">
      <s:c r="A50" s="51" t="inlineStr">
        <s:is>
          <s:t>Other instructor contributes the remaining 50%. Enter that instructor’s grade / 10 in the blue column; final course grade = Swapnil course points + 0.50 × other instructor grade.</s:t>
        </s:is>
      </s:c>
    </s:row>
    <s:row r="51" ht="30" customHeight="1">
      <s:c r="A51" s="51" t="inlineStr">
        <s:is>
          <s:t>The final course grade remains blank while the other instructor’s grade is pending. Missing assessment records currently contribute zero and are identified in Record status.</s:t>
        </s:is>
      </s:c>
    </s:row>
    <s:row r="52" ht="30" customHeight="1">
      <s:c r="A52" s="51" t="inlineStr">
        <s:is>
          <s:t>For each quiz and student ID, retain the highest score across original and makeup attempts, counting any repeated historical rows once. No negative marking; display rounding is to two decimals and calculations use full precision.</s:t>
        </s:is>
      </s:c>
    </s:row>
    <s:row r="53" ht="30" customHeight="1">
      <s:c r="A53" s="51" t="inlineStr">
        <s:is>
          <s:t>Four legacy Quiz 1 records lack a student ID. They are preserved on Quiz 1 and cannot be joined to Overall Grade until their IDs are supplied.</s:t>
        </s:is>
      </s:c>
    </s:row>
  </s:sheetData>
  <s:autoFilter ref="A1:M42"/>
  <s:mergeCells count="9">
    <s:mergeCell ref="A46:M46"/>
    <s:mergeCell ref="A45:M45"/>
    <s:mergeCell ref="A51:M51"/>
    <s:mergeCell ref="A50:M50"/>
    <s:mergeCell ref="A48:M48"/>
    <s:mergeCell ref="A53:M53"/>
    <s:mergeCell ref="A49:M49"/>
    <s:mergeCell ref="A52:M52"/>
    <s:mergeCell ref="A47:M47"/>
  </s:mergeCells>
  <s:dataValidations count="1">
    <s:dataValidation sqref="K2:K42" showDropDown="0" showInputMessage="0" showErrorMessage="1" allowBlank="1" errorTitle="Grade must be between 0 and 10" error="Enter the other instructor grade on the 10-point scale, or leave blank." type="decimal" operator="between">
      <s:formula1>0</s:formula1>
      <s:formula2>10</s:formula2>
    </s:dataValidation>
  </s:dataValidations>
  <s:pageMargins left="0.75" right="0.75" top="1" bottom="1" header="0.5" footer="0.5"/>
  <s:pageSetup orientation="landscape" paperSize="9" fitToHeight="0" fitToWidth="1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2026-09-10T10:41:17Z</dcterms:created>
  <dcterms:modified xsi:type="dcterms:W3CDTF">2026-10-07T13:02:49Z</dcterms:modified>
</cp:coreProperties>
</file>